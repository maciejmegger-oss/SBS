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Kontakty" sheetId="2" state="visible" r:id="rId2"/>
    <sheet name="Beşiktaş – korekta" sheetId="3" state="visible" r:id="rId3"/>
    <sheet name="Ranking CIES" sheetId="4" state="visible" r:id="rId4"/>
  </sheets>
  <definedNames>
    <definedName name="_xlnm._FilterDatabase" localSheetId="1" hidden="1">'Kontakty'!$A$1:$K$124</definedName>
    <definedName name="_xlnm._FilterDatabase" localSheetId="2" hidden="1">'Beşiktaş – korekta'!$A$1:$H$5</definedName>
    <definedName name="_xlnm._FilterDatabase" localSheetId="3" hidden="1">'Ranking CIES'!$A$1:$F$25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ikfotboll.se/kontakta-oss/kontakt-med-lagen" TargetMode="External" Id="rId1" /><Relationship Type="http://schemas.openxmlformats.org/officeDocument/2006/relationships/hyperlink" Target="https://www.aikfotboll.se/kontakta-oss/kontakt-med-lagen" TargetMode="External" Id="rId2" /><Relationship Type="http://schemas.openxmlformats.org/officeDocument/2006/relationships/hyperlink" Target="https://www.aikfotboll.se/artiklar-och-nyheter/260130-alexander-milosevic-ny-scout-och-rekryteringsansvarig-for-akademin" TargetMode="External" Id="rId3" /><Relationship Type="http://schemas.openxmlformats.org/officeDocument/2006/relationships/hyperlink" Target="https://ifkgoteborg.se/om-ifk-goteborg/kontakt/" TargetMode="External" Id="rId4" /><Relationship Type="http://schemas.openxmlformats.org/officeDocument/2006/relationships/hyperlink" Target="https://www.hammarbyfotboll.se/kontakt/" TargetMode="External" Id="rId5" /><Relationship Type="http://schemas.openxmlformats.org/officeDocument/2006/relationships/hyperlink" Target="https://www.hammarbyfotboll.se/kontakt/" TargetMode="External" Id="rId6" /><Relationship Type="http://schemas.openxmlformats.org/officeDocument/2006/relationships/hyperlink" Target="https://www.dif.se/om-dif/kontakt" TargetMode="External" Id="rId7" /><Relationship Type="http://schemas.openxmlformats.org/officeDocument/2006/relationships/hyperlink" Target="https://bkhacken.se/sida/pojkakademi-ledare" TargetMode="External" Id="rId8" /><Relationship Type="http://schemas.openxmlformats.org/officeDocument/2006/relationships/hyperlink" Target="https://www.mff.se/om-malmo-ff/kontakt/" TargetMode="External" Id="rId9" /><Relationship Type="http://schemas.openxmlformats.org/officeDocument/2006/relationships/hyperlink" Target="https://elfsborg.se/for-foretag/kontakta-oss/" TargetMode="External" Id="rId10" /><Relationship Type="http://schemas.openxmlformats.org/officeDocument/2006/relationships/hyperlink" Target="https://fcn.dk/akademi/kontakt" TargetMode="External" Id="rId11" /><Relationship Type="http://schemas.openxmlformats.org/officeDocument/2006/relationships/hyperlink" Target="https://fcn.dk/akademi/kontakt" TargetMode="External" Id="rId12" /><Relationship Type="http://schemas.openxmlformats.org/officeDocument/2006/relationships/hyperlink" Target="https://www.fcm.dk/drengeakademiet/" TargetMode="External" Id="rId13" /><Relationship Type="http://schemas.openxmlformats.org/officeDocument/2006/relationships/hyperlink" Target="https://www.fck.dk/en/content/fck-talent-department-staff-and-officials" TargetMode="External" Id="rId14" /><Relationship Type="http://schemas.openxmlformats.org/officeDocument/2006/relationships/hyperlink" Target="https://brondby.com/masterclass/om-masterclass/rekrutteringsprocedure-i-brondby-masterclass" TargetMode="External" Id="rId15" /><Relationship Type="http://schemas.openxmlformats.org/officeDocument/2006/relationships/hyperlink" Target="https://lyngby-boldklub.dk/kontakt/" TargetMode="External" Id="rId16" /><Relationship Type="http://schemas.openxmlformats.org/officeDocument/2006/relationships/hyperlink" Target="https://lyngby-boldklub.dk/2026/06/25/rasmus-anker-bliver-ny-chef-for-rekruttering-og-scouting/" TargetMode="External" Id="rId17" /><Relationship Type="http://schemas.openxmlformats.org/officeDocument/2006/relationships/hyperlink" Target="https://agf.dk/agf-talent" TargetMode="External" Id="rId18" /><Relationship Type="http://schemas.openxmlformats.org/officeDocument/2006/relationships/hyperlink" Target="https://ob.dk/hold/akademi/akademiets-personale" TargetMode="External" Id="rId19" /><Relationship Type="http://schemas.openxmlformats.org/officeDocument/2006/relationships/hyperlink" Target="https://www.silkeborgif.com/talent/kontakt/" TargetMode="External" Id="rId20" /><Relationship Type="http://schemas.openxmlformats.org/officeDocument/2006/relationships/hyperlink" Target="https://www.silkeborgif.com/talent/kontakt/" TargetMode="External" Id="rId21" /><Relationship Type="http://schemas.openxmlformats.org/officeDocument/2006/relationships/hyperlink" Target="https://randersfc.dk/talent/kontakt/" TargetMode="External" Id="rId22" /><Relationship Type="http://schemas.openxmlformats.org/officeDocument/2006/relationships/hyperlink" Target="https://aabsport.dk/akademiet/om-aab-akademiet/" TargetMode="External" Id="rId23" /><Relationship Type="http://schemas.openxmlformats.org/officeDocument/2006/relationships/hyperlink" Target="https://aabsport.dk/akademiet/om-aab-akademiet/" TargetMode="External" Id="rId24" /><Relationship Type="http://schemas.openxmlformats.org/officeDocument/2006/relationships/hyperlink" Target="https://fcn.dk/akademi/kontakt" TargetMode="External" Id="rId25" /><Relationship Type="http://schemas.openxmlformats.org/officeDocument/2006/relationships/hyperlink" Target="https://www.fck.dk/indhold/procedurer-rekruttering-i-talentafdelingen" TargetMode="External" Id="rId26" /><Relationship Type="http://schemas.openxmlformats.org/officeDocument/2006/relationships/hyperlink" Target="https://www.vff.dk/viborg-f-f/kontaktinfo" TargetMode="External" Id="rId27" /><Relationship Type="http://schemas.openxmlformats.org/officeDocument/2006/relationships/hyperlink" Target="https://soenderjyskefodbold.dk/scouting-rekruttering/" TargetMode="External" Id="rId28" /><Relationship Type="http://schemas.openxmlformats.org/officeDocument/2006/relationships/hyperlink" Target="https://achorsens.dk/ansatte/akademiet" TargetMode="External" Id="rId29" /><Relationship Type="http://schemas.openxmlformats.org/officeDocument/2006/relationships/hyperlink" Target="https://vejle-boldklub.dk/vb-akademiet/staben" TargetMode="External" Id="rId30" /><Relationship Type="http://schemas.openxmlformats.org/officeDocument/2006/relationships/hyperlink" Target="https://efb.dk/efb-akademi/stab/" TargetMode="External" Id="rId31" /><Relationship Type="http://schemas.openxmlformats.org/officeDocument/2006/relationships/hyperlink" Target="https://www.hbkoge.dk/talentudvikling/" TargetMode="External" Id="rId32" /><Relationship Type="http://schemas.openxmlformats.org/officeDocument/2006/relationships/hyperlink" Target="https://bredde.hif.dk/talentakademi/" TargetMode="External" Id="rId33" /><Relationship Type="http://schemas.openxmlformats.org/officeDocument/2006/relationships/hyperlink" Target="https://fcn.dk/akademi/kontakt" TargetMode="External" Id="rId34" /><Relationship Type="http://schemas.openxmlformats.org/officeDocument/2006/relationships/hyperlink" Target="https://www.fck.dk/indhold/procedurer-rekruttering-i-talentafdelingen" TargetMode="External" Id="rId35" /><Relationship Type="http://schemas.openxmlformats.org/officeDocument/2006/relationships/hyperlink" Target="https://www.fck.dk/indhold/procedurer-rekruttering-i-talentafdelingen" TargetMode="External" Id="rId36" /><Relationship Type="http://schemas.openxmlformats.org/officeDocument/2006/relationships/hyperlink" Target="https://www.akademiskboldklub.dk/klub/akademisk-boldklub--4/sider/spillerhenvendelser" TargetMode="External" Id="rId37" /><Relationship Type="http://schemas.openxmlformats.org/officeDocument/2006/relationships/hyperlink" Target="https://kolding-if.dk/sport/akademiet/kontakt-akademi/" TargetMode="External" Id="rId38" /><Relationship Type="http://schemas.openxmlformats.org/officeDocument/2006/relationships/hyperlink" Target="https://www.hilleroedfodbold.dk/klubnyt/hilleroed-fodbold-ansaetter-peter-soerensen-som-ny-talentchef/" TargetMode="External" Id="rId39" /><Relationship Type="http://schemas.openxmlformats.org/officeDocument/2006/relationships/hyperlink" Target="https://hobroik.dk/forening/ungdom/talent/rekruttering-til-talent/" TargetMode="External" Id="rId40" /><Relationship Type="http://schemas.openxmlformats.org/officeDocument/2006/relationships/hyperlink" Target="https://vendsysselff.dk/talent/stab/" TargetMode="External" Id="rId41" /><Relationship Type="http://schemas.openxmlformats.org/officeDocument/2006/relationships/hyperlink" Target="https://www.fcfredericia.org/Staben/" TargetMode="External" Id="rId42" /><Relationship Type="http://schemas.openxmlformats.org/officeDocument/2006/relationships/hyperlink" Target="https://www.fcfredericia.org/Rekruttering/" TargetMode="External" Id="rId43" /><Relationship Type="http://schemas.openxmlformats.org/officeDocument/2006/relationships/hyperlink" Target="https://www.aarhus-fremad.dk/kontakt/" TargetMode="External" Id="rId44" /><Relationship Type="http://schemas.openxmlformats.org/officeDocument/2006/relationships/hyperlink" Target="https://www.aarhus-fremad.dk/kontakt/" TargetMode="External" Id="rId45" /><Relationship Type="http://schemas.openxmlformats.org/officeDocument/2006/relationships/hyperlink" Target="https://www.parmacalcio1913.com/en/main-news/club-statement-new-football-department-structure-confirmed/" TargetMode="External" Id="rId46" /><Relationship Type="http://schemas.openxmlformats.org/officeDocument/2006/relationships/hyperlink" Target="https://www.parmacalcio1913.com/en/main-news/club-statement-new-football-department-structure-confirmed/" TargetMode="External" Id="rId47" /><Relationship Type="http://schemas.openxmlformats.org/officeDocument/2006/relationships/hyperlink" Target="https://www.parmacalcio1913.com/en/main-news/club-statement-new-football-department-structure-confirmed/" TargetMode="External" Id="rId48" /><Relationship Type="http://schemas.openxmlformats.org/officeDocument/2006/relationships/hyperlink" Target="https://www.udinese.it/academy/contacts" TargetMode="External" Id="rId49" /><Relationship Type="http://schemas.openxmlformats.org/officeDocument/2006/relationships/hyperlink" Target="https://www.zonacalciofaidate.it/news-dai-campi-e-sedi-settori-giovanili/settore-giovanile-atalanta-2026-2027-tutti-gli-allenatori-e-la-nuova-squadra-di-roberto-samaden" TargetMode="External" Id="rId50" /><Relationship Type="http://schemas.openxmlformats.org/officeDocument/2006/relationships/hyperlink" Target="https://www.empolifc.it/organigramma" TargetMode="External" Id="rId51" /><Relationship Type="http://schemas.openxmlformats.org/officeDocument/2006/relationships/hyperlink" Target="https://www.parmacalcio1913.com/en/main-news/club-statement-new-football-department-structure-confirmed/" TargetMode="External" Id="rId52" /><Relationship Type="http://schemas.openxmlformats.org/officeDocument/2006/relationships/hyperlink" Target="https://fr.wikipedia.org/wiki/Centre_de_formation_du_Stade_rennais_FC" TargetMode="External" Id="rId53" /><Relationship Type="http://schemas.openxmlformats.org/officeDocument/2006/relationships/hyperlink" Target="https://www.asmonaco.com/encadrement/" TargetMode="External" Id="rId54" /><Relationship Type="http://schemas.openxmlformats.org/officeDocument/2006/relationships/hyperlink" Target="https://www.asmonaco.com/en/academy/la-diagonale-centre-de-formation-de-las-monaco" TargetMode="External" Id="rId55" /><Relationship Type="http://schemas.openxmlformats.org/officeDocument/2006/relationships/hyperlink" Target="https://www.rclens.fr/fr/pros-cellule-de-recrutement" TargetMode="External" Id="rId56" /><Relationship Type="http://schemas.openxmlformats.org/officeDocument/2006/relationships/hyperlink" Target="https://www.ol.fr/fr/academy/centre-de-formation/recrutement" TargetMode="External" Id="rId57" /><Relationship Type="http://schemas.openxmlformats.org/officeDocument/2006/relationships/hyperlink" Target="https://fr.wikipedia.org/wiki/Centre_de_formation_du_Stade_rennais_FC" TargetMode="External" Id="rId58" /><Relationship Type="http://schemas.openxmlformats.org/officeDocument/2006/relationships/hyperlink" Target="https://www.losc.fr/contact" TargetMode="External" Id="rId59" /><Relationship Type="http://schemas.openxmlformats.org/officeDocument/2006/relationships/hyperlink" Target="https://www.losc.fr/formation" TargetMode="External" Id="rId60" /><Relationship Type="http://schemas.openxmlformats.org/officeDocument/2006/relationships/hyperlink" Target="https://www.psg.fr/en/youth-football" TargetMode="External" Id="rId61" /><Relationship Type="http://schemas.openxmlformats.org/officeDocument/2006/relationships/hyperlink" Target="https://www.psg.fr/en/youth-football" TargetMode="External" Id="rId62" /><Relationship Type="http://schemas.openxmlformats.org/officeDocument/2006/relationships/hyperlink" Target="https://www.clubbrugge.be/en/nxt-contact" TargetMode="External" Id="rId63" /><Relationship Type="http://schemas.openxmlformats.org/officeDocument/2006/relationships/hyperlink" Target="https://www.clubbrugge.be/en/nxt-contact" TargetMode="External" Id="rId64" /><Relationship Type="http://schemas.openxmlformats.org/officeDocument/2006/relationships/hyperlink" Target="https://www.rsca.be/en/afrim-salievski" TargetMode="External" Id="rId65" /><Relationship Type="http://schemas.openxmlformats.org/officeDocument/2006/relationships/hyperlink" Target="https://www.krcgenk.be/nl/contact/locatie/jeugdscouting" TargetMode="External" Id="rId66" /><Relationship Type="http://schemas.openxmlformats.org/officeDocument/2006/relationships/hyperlink" Target="https://www.kaagent.be/nl/jeugd/jeugdscouting" TargetMode="External" Id="rId67" /><Relationship Type="http://schemas.openxmlformats.org/officeDocument/2006/relationships/hyperlink" Target="https://rusg.brussels/en/union-academy/contact-union-academy" TargetMode="External" Id="rId68" /><Relationship Type="http://schemas.openxmlformats.org/officeDocument/2006/relationships/hyperlink" Target="https://standard.be/fr/news/academie-robert-louis-dreyfus" TargetMode="External" Id="rId69" /><Relationship Type="http://schemas.openxmlformats.org/officeDocument/2006/relationships/hyperlink" Target="https://jeugd.royalantwerpfc.be/contact/" TargetMode="External" Id="rId70" /><Relationship Type="http://schemas.openxmlformats.org/officeDocument/2006/relationships/hyperlink" Target="https://kvmechelen.be/academie/contact/" TargetMode="External" Id="rId71" /><Relationship Type="http://schemas.openxmlformats.org/officeDocument/2006/relationships/hyperlink" Target="https://jeugd.royalantwerpfc.be/contact/" TargetMode="External" Id="rId72" /><Relationship Type="http://schemas.openxmlformats.org/officeDocument/2006/relationships/hyperlink" Target="https://www.ohleuven.com/academy/scouting" TargetMode="External" Id="rId73" /><Relationship Type="http://schemas.openxmlformats.org/officeDocument/2006/relationships/hyperlink" Target="https://cerclebrugge.be/en/teams/youth/jeugdacademie-scouting" TargetMode="External" Id="rId74" /><Relationship Type="http://schemas.openxmlformats.org/officeDocument/2006/relationships/hyperlink" Target="https://www.kvk.be/club/jeugdacademie/kvk-scouting/" TargetMode="External" Id="rId75" /><Relationship Type="http://schemas.openxmlformats.org/officeDocument/2006/relationships/hyperlink" Target="https://www.lommelsk.be/nl/talent-scouting.php" TargetMode="External" Id="rId76" /><Relationship Type="http://schemas.openxmlformats.org/officeDocument/2006/relationships/hyperlink" Target="https://www.lommelsk.be/nl/talent-scouting.php" TargetMode="External" Id="rId77" /><Relationship Type="http://schemas.openxmlformats.org/officeDocument/2006/relationships/hyperlink" Target="https://www.skbeveren.be/contact/" TargetMode="External" Id="rId78" /><Relationship Type="http://schemas.openxmlformats.org/officeDocument/2006/relationships/hyperlink" Target="https://www.sporting-charleroi.be/contact/" TargetMode="External" Id="rId79" /><Relationship Type="http://schemas.openxmlformats.org/officeDocument/2006/relationships/hyperlink" Target="https://jeugd.royalantwerpfc.be/contact/" TargetMode="External" Id="rId80" /><Relationship Type="http://schemas.openxmlformats.org/officeDocument/2006/relationships/hyperlink" Target="https://kvcwesterlo.be/nl/contact/" TargetMode="External" Id="rId81" /><Relationship Type="http://schemas.openxmlformats.org/officeDocument/2006/relationships/hyperlink" Target="https://stvv.com/en/contact" TargetMode="External" Id="rId82" /><Relationship Type="http://schemas.openxmlformats.org/officeDocument/2006/relationships/hyperlink" Target="https://www.essevee.be/nl/team-essevee/contact" TargetMode="External" Id="rId83" /><Relationship Type="http://schemas.openxmlformats.org/officeDocument/2006/relationships/hyperlink" Target="https://www.raal.be/ufaq/jaimerais-realiser-un-test-pour-integrer-lecole-des-jeunes-comment-faire/" TargetMode="External" Id="rId84" /><Relationship Type="http://schemas.openxmlformats.org/officeDocument/2006/relationships/hyperlink" Target="https://www.redbullsalzburg.at/de/jungbullen-und-akademie" TargetMode="External" Id="rId85" /><Relationship Type="http://schemas.openxmlformats.org/officeDocument/2006/relationships/hyperlink" Target="http://www.akastmk-sturm.at/aufnahme.htm" TargetMode="External" Id="rId86" /><Relationship Type="http://schemas.openxmlformats.org/officeDocument/2006/relationships/hyperlink" Target="https://www.skrapid.at/verein/gremien/sport-management/" TargetMode="External" Id="rId87" /><Relationship Type="http://schemas.openxmlformats.org/officeDocument/2006/relationships/hyperlink" Target="https://fk-austria.at/en/akademie-2/kontakt-2" TargetMode="External" Id="rId88" /><Relationship Type="http://schemas.openxmlformats.org/officeDocument/2006/relationships/hyperlink" Target="https://fk-austria.at/en/news/die-sportdirektion-von-austria-wien" TargetMode="External" Id="rId89" /><Relationship Type="http://schemas.openxmlformats.org/officeDocument/2006/relationships/hyperlink" Target="https://www.lask.at/en/m/ansprechpersonen" TargetMode="External" Id="rId90" /><Relationship Type="http://schemas.openxmlformats.org/officeDocument/2006/relationships/hyperlink" Target="https://sksturm.at/en/c/geschaeftsstelle" TargetMode="External" Id="rId91" /><Relationship Type="http://schemas.openxmlformats.org/officeDocument/2006/relationships/hyperlink" Target="https://sksturm.at/en/c/geschaeftsstelle" TargetMode="External" Id="rId92" /><Relationship Type="http://schemas.openxmlformats.org/officeDocument/2006/relationships/hyperlink" Target="https://sksturm.at/en/c/geschaeftsstelle" TargetMode="External" Id="rId93" /><Relationship Type="http://schemas.openxmlformats.org/officeDocument/2006/relationships/hyperlink" Target="https://grazerak.at/verein/ansprechpartner-nachwuchs" TargetMode="External" Id="rId94" /><Relationship Type="http://schemas.openxmlformats.org/officeDocument/2006/relationships/hyperlink" Target="https://rzpelletswac.at/kontakt/" TargetMode="External" Id="rId95" /><Relationship Type="http://schemas.openxmlformats.org/officeDocument/2006/relationships/hyperlink" Target="https://tsv-hartberg-fussball.at/nachwuchs/kontakt-nachwuchs/" TargetMode="External" Id="rId96" /><Relationship Type="http://schemas.openxmlformats.org/officeDocument/2006/relationships/hyperlink" Target="https://www.svried.at/aka-geschaeftsstelle/" TargetMode="External" Id="rId97" /><Relationship Type="http://schemas.openxmlformats.org/officeDocument/2006/relationships/hyperlink" Target="https://www.wsg-fussball.at/de/nachwuchs/infos/" TargetMode="External" Id="rId98" /><Relationship Type="http://schemas.openxmlformats.org/officeDocument/2006/relationships/hyperlink" Target="https://www.scra.at/teams/nachwuchs/scra-nachwuchs" TargetMode="External" Id="rId99" /><Relationship Type="http://schemas.openxmlformats.org/officeDocument/2006/relationships/hyperlink" Target="https://www.scra.at/teams/nachwuchs/scra-nachwuchs" TargetMode="External" Id="rId100" /><Relationship Type="http://schemas.openxmlformats.org/officeDocument/2006/relationships/hyperlink" Target="https://www.austria-lustenau.at/kontakt" TargetMode="External" Id="rId101" /><Relationship Type="http://schemas.openxmlformats.org/officeDocument/2006/relationships/hyperlink" Target="https://www.bscyb.ch/youth-base-staff" TargetMode="External" Id="rId102" /><Relationship Type="http://schemas.openxmlformats.org/officeDocument/2006/relationships/hyperlink" Target="https://www.fcb.ch/aktuell/news/nachwuchs/veraenderungen-auf-dem-campus-januar-2026" TargetMode="External" Id="rId103" /><Relationship Type="http://schemas.openxmlformats.org/officeDocument/2006/relationships/hyperlink" Target="https://www.fcz.ch/pages/leitung-und-staff" TargetMode="External" Id="rId104" /><Relationship Type="http://schemas.openxmlformats.org/officeDocument/2006/relationships/hyperlink" Target="https://www.fcthun.ch/de/teams/nachwuchs" TargetMode="External" Id="rId105" /><Relationship Type="http://schemas.openxmlformats.org/officeDocument/2006/relationships/hyperlink" Target="https://fclugano.com/en/academy/" TargetMode="External" Id="rId106" /><Relationship Type="http://schemas.openxmlformats.org/officeDocument/2006/relationships/hyperlink" Target="https://www.lausanne-sport.ch/contact/" TargetMode="External" Id="rId107" /><Relationship Type="http://schemas.openxmlformats.org/officeDocument/2006/relationships/hyperlink" Target="https://www.fcvaduz.li/kontakt" TargetMode="External" Id="rId108" /><Relationship Type="http://schemas.openxmlformats.org/officeDocument/2006/relationships/hyperlink" Target="https://www.fcsg.ch/future-champs/organisation/kontakt/" TargetMode="External" Id="rId109" /><Relationship Type="http://schemas.openxmlformats.org/officeDocument/2006/relationships/hyperlink" Target="https://servettefc.ch/academie/je-veux-jouer-au-sfc/" TargetMode="External" Id="rId110" /><Relationship Type="http://schemas.openxmlformats.org/officeDocument/2006/relationships/hyperlink" Target="https://www.fcsion.ch/fr/administration/" TargetMode="External" Id="rId111" /><Relationship Type="http://schemas.openxmlformats.org/officeDocument/2006/relationships/hyperlink" Target="https://fcl.ch/role/nachwuchs/" TargetMode="External" Id="rId112" /><Relationship Type="http://schemas.openxmlformats.org/officeDocument/2006/relationships/hyperlink" Target="https://www.gcz.ch/kontakt/" TargetMode="External" Id="rId113" /><Relationship Type="http://schemas.openxmlformats.org/officeDocument/2006/relationships/hyperlink" Target="https://www.slbenfica.pt/en-us/futebol-formacao/formacao/prospecao/recrutamento-jogadores" TargetMode="External" Id="rId114" /><Relationship Type="http://schemas.openxmlformats.org/officeDocument/2006/relationships/hyperlink" Target="https://escolasacademia.sporting.pt" TargetMode="External" Id="rId115" /><Relationship Type="http://schemas.openxmlformats.org/officeDocument/2006/relationships/hyperlink" Target="https://en.wikipedia.org/wiki/Academia_Cristiano_Ronaldo" TargetMode="External" Id="rId116" /><Relationship Type="http://schemas.openxmlformats.org/officeDocument/2006/relationships/hyperlink" Target="https://www.fcporto.pt/pt/contactos" TargetMode="External" Id="rId117" /><Relationship Type="http://schemas.openxmlformats.org/officeDocument/2006/relationships/hyperlink" Target="https://www.ajax.nl/club/jeugdopleiding" TargetMode="External" Id="rId118" /><Relationship Type="http://schemas.openxmlformats.org/officeDocument/2006/relationships/hyperlink" Target="https://www.ajax.nl/artikelen/ajax-doc-scouten-voor-de-toekomst" TargetMode="External" Id="rId119" /><Relationship Type="http://schemas.openxmlformats.org/officeDocument/2006/relationships/hyperlink" Target="https://www.psv.nl/en/club/psv-campus-de-herdgang-1/psv-campus" TargetMode="External" Id="rId120" /><Relationship Type="http://schemas.openxmlformats.org/officeDocument/2006/relationships/hyperlink" Target="https://www.feyenoord.com/nl/academy/contact" TargetMode="External" Id="rId121" /><Relationship Type="http://schemas.openxmlformats.org/officeDocument/2006/relationships/hyperlink" Target="https://www.az.nl/jeugdopleiding" TargetMode="External" Id="rId122" /><Relationship Type="http://schemas.openxmlformats.org/officeDocument/2006/relationships/hyperlink" Target="https://www.az.nl/jeugdopleiding/az-voetbalschool" TargetMode="External" Id="rId123" /><Relationship Type="http://schemas.openxmlformats.org/officeDocument/2006/relationships/hyperlink" Target="https://en.wikipedia.org/wiki/Real_Sociedad_Cantera" TargetMode="External" Id="rId124" /><Relationship Type="http://schemas.openxmlformats.org/officeDocument/2006/relationships/hyperlink" Target="https://villarrealcf.es/es/cantera-grogueta/" TargetMode="External" Id="rId125" /><Relationship Type="http://schemas.openxmlformats.org/officeDocument/2006/relationships/hyperlink" Target="https://formacion.valenciacf.com/en/contacto/" TargetMode="External" Id="rId126" /><Relationship Type="http://schemas.openxmlformats.org/officeDocument/2006/relationships/hyperlink" Target="https://www.valenciacf.com/vcf-academy" TargetMode="External" Id="rId127" /><Relationship Type="http://schemas.openxmlformats.org/officeDocument/2006/relationships/hyperlink" Target="https://www.athletic-club.eus/en/teams/lezama/" TargetMode="External" Id="rId128" /><Relationship Type="http://schemas.openxmlformats.org/officeDocument/2006/relationships/hyperlink" Target="https://www.fcbarcelona.com/en/club/identity/la-masia" TargetMode="External" Id="rId129" /><Relationship Type="http://schemas.openxmlformats.org/officeDocument/2006/relationships/hyperlink" Target="https://en.wikipedia.org/wiki/Juni_Calafat" TargetMode="External" Id="rId130" /><Relationship Type="http://schemas.openxmlformats.org/officeDocument/2006/relationships/hyperlink" Target="https://www.bayer04.de/en-us/page/youth/trial-sessions" TargetMode="External" Id="rId131" /><Relationship Type="http://schemas.openxmlformats.org/officeDocument/2006/relationships/hyperlink" Target="https://gnkdinamo.hr/hr/info/kontakt" TargetMode="External" Id="rId132" /><Relationship Type="http://schemas.openxmlformats.org/officeDocument/2006/relationships/hyperlink" Target="https://partizan.rs/en" TargetMode="External" Id="rId133" /><Relationship Type="http://schemas.openxmlformats.org/officeDocument/2006/relationships/hyperlink" Target="http://www.en.partizan.rs/omladinska-skola-fudbala/" TargetMode="External" Id="rId134" /><Relationship Type="http://schemas.openxmlformats.org/officeDocument/2006/relationships/hyperlink" Target="https://www.crvenazvezdafk.com/en/klub/kontakt-i-lokacija" TargetMode="External" Id="rId135" /><Relationship Type="http://schemas.openxmlformats.org/officeDocument/2006/relationships/hyperlink" Target="https://www.crvenazvezdafk.com/en/vesti-kategorija/omladinska-shkola" TargetMode="External" Id="rId136" /><Relationship Type="http://schemas.openxmlformats.org/officeDocument/2006/relationships/hyperlink" Target="https://fcdynamo.com/en/pages/contacts" TargetMode="External" Id="rId137" /><Relationship Type="http://schemas.openxmlformats.org/officeDocument/2006/relationships/hyperlink" Target="https://www.manutd.com/en/help/faqs/club-information2" TargetMode="External" Id="rId138" /></Relationships>
</file>

<file path=xl/worksheets/_rels/sheet3.xml.rels><Relationships xmlns="http://schemas.openxmlformats.org/package/2006/relationships"><Relationship Type="http://schemas.openxmlformats.org/officeDocument/2006/relationships/hyperlink" Target="https://bjk.com.tr/tr/spor-okullari/idari_ve_teknik_kadro" TargetMode="External" Id="rId1" /><Relationship Type="http://schemas.openxmlformats.org/officeDocument/2006/relationships/hyperlink" Target="https://bjk.com.tr/tr/spor-okullari/idari_ve_teknik_kadro" TargetMode="External" Id="rId2" /><Relationship Type="http://schemas.openxmlformats.org/officeDocument/2006/relationships/hyperlink" Target="https://bjk.com.tr/tr/spor-okullari/idari_ve_teknik_kadro" TargetMode="External" Id="rId3" /><Relationship Type="http://schemas.openxmlformats.org/officeDocument/2006/relationships/hyperlink" Target="https://bjk.com.tr/tr/cms/iletisim/14/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Kraj</t>
        </is>
      </c>
      <c r="B1" s="1" t="inlineStr">
        <is>
          <t>Liczba kontaktów</t>
        </is>
      </c>
      <c r="C1" s="1" t="inlineStr">
        <is>
          <t>Z mailem osoby</t>
        </is>
      </c>
      <c r="D1" s="1" t="inlineStr">
        <is>
          <t>Priorytet 1</t>
        </is>
      </c>
      <c r="E1" s="1" t="inlineStr">
        <is>
          <t>Zweryfikowane</t>
        </is>
      </c>
    </row>
    <row r="2">
      <c r="A2" s="2" t="inlineStr">
        <is>
          <t>Szwecja</t>
        </is>
      </c>
      <c r="B2" s="2">
        <f>COUNTIF(Kontakty!$A$2:$A$124,A2)</f>
        <v/>
      </c>
      <c r="C2" s="2">
        <f>COUNTIFS(Kontakty!$A$2:$A$124,A2,Kontakty!$F$2:$F$124,"*@*")</f>
        <v/>
      </c>
      <c r="D2" s="2">
        <f>COUNTIFS(Kontakty!$A$2:$A$124,A2,Kontakty!$I$2:$I$124,1)</f>
        <v/>
      </c>
      <c r="E2" s="2">
        <f>COUNTIFS(Kontakty!$A$2:$A$124,A2,Kontakty!$J$2:$J$124,"Zweryfikowany")</f>
        <v/>
      </c>
    </row>
    <row r="3">
      <c r="A3" s="2" t="inlineStr">
        <is>
          <t>Dania</t>
        </is>
      </c>
      <c r="B3" s="2">
        <f>COUNTIF(Kontakty!$A$2:$A$124,A3)</f>
        <v/>
      </c>
      <c r="C3" s="2">
        <f>COUNTIFS(Kontakty!$A$2:$A$124,A3,Kontakty!$F$2:$F$124,"*@*")</f>
        <v/>
      </c>
      <c r="D3" s="2">
        <f>COUNTIFS(Kontakty!$A$2:$A$124,A3,Kontakty!$I$2:$I$124,1)</f>
        <v/>
      </c>
      <c r="E3" s="2">
        <f>COUNTIFS(Kontakty!$A$2:$A$124,A3,Kontakty!$J$2:$J$124,"Zweryfikowany")</f>
        <v/>
      </c>
    </row>
    <row r="4">
      <c r="A4" s="2" t="inlineStr">
        <is>
          <t>Włochy</t>
        </is>
      </c>
      <c r="B4" s="2">
        <f>COUNTIF(Kontakty!$A$2:$A$124,A4)</f>
        <v/>
      </c>
      <c r="C4" s="2">
        <f>COUNTIFS(Kontakty!$A$2:$A$124,A4,Kontakty!$F$2:$F$124,"*@*")</f>
        <v/>
      </c>
      <c r="D4" s="2">
        <f>COUNTIFS(Kontakty!$A$2:$A$124,A4,Kontakty!$I$2:$I$124,1)</f>
        <v/>
      </c>
      <c r="E4" s="2">
        <f>COUNTIFS(Kontakty!$A$2:$A$124,A4,Kontakty!$J$2:$J$124,"Zweryfikowany")</f>
        <v/>
      </c>
    </row>
    <row r="5">
      <c r="A5" s="2" t="inlineStr">
        <is>
          <t>Francja</t>
        </is>
      </c>
      <c r="B5" s="2">
        <f>COUNTIF(Kontakty!$A$2:$A$124,A5)</f>
        <v/>
      </c>
      <c r="C5" s="2">
        <f>COUNTIFS(Kontakty!$A$2:$A$124,A5,Kontakty!$F$2:$F$124,"*@*")</f>
        <v/>
      </c>
      <c r="D5" s="2">
        <f>COUNTIFS(Kontakty!$A$2:$A$124,A5,Kontakty!$I$2:$I$124,1)</f>
        <v/>
      </c>
      <c r="E5" s="2">
        <f>COUNTIFS(Kontakty!$A$2:$A$124,A5,Kontakty!$J$2:$J$124,"Zweryfikowany")</f>
        <v/>
      </c>
    </row>
    <row r="6">
      <c r="A6" s="2" t="inlineStr">
        <is>
          <t>Belgia</t>
        </is>
      </c>
      <c r="B6" s="2">
        <f>COUNTIF(Kontakty!$A$2:$A$124,A6)</f>
        <v/>
      </c>
      <c r="C6" s="2">
        <f>COUNTIFS(Kontakty!$A$2:$A$124,A6,Kontakty!$F$2:$F$124,"*@*")</f>
        <v/>
      </c>
      <c r="D6" s="2">
        <f>COUNTIFS(Kontakty!$A$2:$A$124,A6,Kontakty!$I$2:$I$124,1)</f>
        <v/>
      </c>
      <c r="E6" s="2">
        <f>COUNTIFS(Kontakty!$A$2:$A$124,A6,Kontakty!$J$2:$J$124,"Zweryfikowany")</f>
        <v/>
      </c>
    </row>
    <row r="7">
      <c r="A7" s="2" t="inlineStr">
        <is>
          <t>Austria</t>
        </is>
      </c>
      <c r="B7" s="2">
        <f>COUNTIF(Kontakty!$A$2:$A$124,A7)</f>
        <v/>
      </c>
      <c r="C7" s="2">
        <f>COUNTIFS(Kontakty!$A$2:$A$124,A7,Kontakty!$F$2:$F$124,"*@*")</f>
        <v/>
      </c>
      <c r="D7" s="2">
        <f>COUNTIFS(Kontakty!$A$2:$A$124,A7,Kontakty!$I$2:$I$124,1)</f>
        <v/>
      </c>
      <c r="E7" s="2">
        <f>COUNTIFS(Kontakty!$A$2:$A$124,A7,Kontakty!$J$2:$J$124,"Zweryfikowany")</f>
        <v/>
      </c>
    </row>
    <row r="8">
      <c r="A8" s="2" t="inlineStr">
        <is>
          <t>Szwajcaria</t>
        </is>
      </c>
      <c r="B8" s="2">
        <f>COUNTIF(Kontakty!$A$2:$A$124,A8)</f>
        <v/>
      </c>
      <c r="C8" s="2">
        <f>COUNTIFS(Kontakty!$A$2:$A$124,A8,Kontakty!$F$2:$F$124,"*@*")</f>
        <v/>
      </c>
      <c r="D8" s="2">
        <f>COUNTIFS(Kontakty!$A$2:$A$124,A8,Kontakty!$I$2:$I$124,1)</f>
        <v/>
      </c>
      <c r="E8" s="2">
        <f>COUNTIFS(Kontakty!$A$2:$A$124,A8,Kontakty!$J$2:$J$124,"Zweryfikowany")</f>
        <v/>
      </c>
    </row>
    <row r="9">
      <c r="A9" s="2" t="inlineStr">
        <is>
          <t>Portugalia</t>
        </is>
      </c>
      <c r="B9" s="2">
        <f>COUNTIF(Kontakty!$A$2:$A$124,A9)</f>
        <v/>
      </c>
      <c r="C9" s="2">
        <f>COUNTIFS(Kontakty!$A$2:$A$124,A9,Kontakty!$F$2:$F$124,"*@*")</f>
        <v/>
      </c>
      <c r="D9" s="2">
        <f>COUNTIFS(Kontakty!$A$2:$A$124,A9,Kontakty!$I$2:$I$124,1)</f>
        <v/>
      </c>
      <c r="E9" s="2">
        <f>COUNTIFS(Kontakty!$A$2:$A$124,A9,Kontakty!$J$2:$J$124,"Zweryfikowany")</f>
        <v/>
      </c>
    </row>
    <row r="10">
      <c r="A10" s="2" t="inlineStr">
        <is>
          <t>Holandia</t>
        </is>
      </c>
      <c r="B10" s="2">
        <f>COUNTIF(Kontakty!$A$2:$A$124,A10)</f>
        <v/>
      </c>
      <c r="C10" s="2">
        <f>COUNTIFS(Kontakty!$A$2:$A$124,A10,Kontakty!$F$2:$F$124,"*@*")</f>
        <v/>
      </c>
      <c r="D10" s="2">
        <f>COUNTIFS(Kontakty!$A$2:$A$124,A10,Kontakty!$I$2:$I$124,1)</f>
        <v/>
      </c>
      <c r="E10" s="2">
        <f>COUNTIFS(Kontakty!$A$2:$A$124,A10,Kontakty!$J$2:$J$124,"Zweryfikowany")</f>
        <v/>
      </c>
    </row>
    <row r="11">
      <c r="A11" s="2" t="inlineStr">
        <is>
          <t>Hiszpania</t>
        </is>
      </c>
      <c r="B11" s="2">
        <f>COUNTIF(Kontakty!$A$2:$A$124,A11)</f>
        <v/>
      </c>
      <c r="C11" s="2">
        <f>COUNTIFS(Kontakty!$A$2:$A$124,A11,Kontakty!$F$2:$F$124,"*@*")</f>
        <v/>
      </c>
      <c r="D11" s="2">
        <f>COUNTIFS(Kontakty!$A$2:$A$124,A11,Kontakty!$I$2:$I$124,1)</f>
        <v/>
      </c>
      <c r="E11" s="2">
        <f>COUNTIFS(Kontakty!$A$2:$A$124,A11,Kontakty!$J$2:$J$124,"Zweryfikowany")</f>
        <v/>
      </c>
    </row>
    <row r="12">
      <c r="A12" s="2" t="inlineStr">
        <is>
          <t>Niemcy</t>
        </is>
      </c>
      <c r="B12" s="2">
        <f>COUNTIF(Kontakty!$A$2:$A$124,A12)</f>
        <v/>
      </c>
      <c r="C12" s="2">
        <f>COUNTIFS(Kontakty!$A$2:$A$124,A12,Kontakty!$F$2:$F$124,"*@*")</f>
        <v/>
      </c>
      <c r="D12" s="2">
        <f>COUNTIFS(Kontakty!$A$2:$A$124,A12,Kontakty!$I$2:$I$124,1)</f>
        <v/>
      </c>
      <c r="E12" s="2">
        <f>COUNTIFS(Kontakty!$A$2:$A$124,A12,Kontakty!$J$2:$J$124,"Zweryfikowany")</f>
        <v/>
      </c>
    </row>
    <row r="13">
      <c r="A13" s="2" t="inlineStr">
        <is>
          <t>Chorwacja</t>
        </is>
      </c>
      <c r="B13" s="2">
        <f>COUNTIF(Kontakty!$A$2:$A$124,A13)</f>
        <v/>
      </c>
      <c r="C13" s="2">
        <f>COUNTIFS(Kontakty!$A$2:$A$124,A13,Kontakty!$F$2:$F$124,"*@*")</f>
        <v/>
      </c>
      <c r="D13" s="2">
        <f>COUNTIFS(Kontakty!$A$2:$A$124,A13,Kontakty!$I$2:$I$124,1)</f>
        <v/>
      </c>
      <c r="E13" s="2">
        <f>COUNTIFS(Kontakty!$A$2:$A$124,A13,Kontakty!$J$2:$J$124,"Zweryfikowany")</f>
        <v/>
      </c>
    </row>
    <row r="14">
      <c r="A14" s="2" t="inlineStr">
        <is>
          <t>Serbia</t>
        </is>
      </c>
      <c r="B14" s="2">
        <f>COUNTIF(Kontakty!$A$2:$A$124,A14)</f>
        <v/>
      </c>
      <c r="C14" s="2">
        <f>COUNTIFS(Kontakty!$A$2:$A$124,A14,Kontakty!$F$2:$F$124,"*@*")</f>
        <v/>
      </c>
      <c r="D14" s="2">
        <f>COUNTIFS(Kontakty!$A$2:$A$124,A14,Kontakty!$I$2:$I$124,1)</f>
        <v/>
      </c>
      <c r="E14" s="2">
        <f>COUNTIFS(Kontakty!$A$2:$A$124,A14,Kontakty!$J$2:$J$124,"Zweryfikowany")</f>
        <v/>
      </c>
    </row>
    <row r="15">
      <c r="A15" s="2" t="inlineStr">
        <is>
          <t>Ukraina</t>
        </is>
      </c>
      <c r="B15" s="2">
        <f>COUNTIF(Kontakty!$A$2:$A$124,A15)</f>
        <v/>
      </c>
      <c r="C15" s="2">
        <f>COUNTIFS(Kontakty!$A$2:$A$124,A15,Kontakty!$F$2:$F$124,"*@*")</f>
        <v/>
      </c>
      <c r="D15" s="2">
        <f>COUNTIFS(Kontakty!$A$2:$A$124,A15,Kontakty!$I$2:$I$124,1)</f>
        <v/>
      </c>
      <c r="E15" s="2">
        <f>COUNTIFS(Kontakty!$A$2:$A$124,A15,Kontakty!$J$2:$J$124,"Zweryfikowany")</f>
        <v/>
      </c>
    </row>
    <row r="16">
      <c r="A16" s="2" t="inlineStr">
        <is>
          <t>Anglia</t>
        </is>
      </c>
      <c r="B16" s="2">
        <f>COUNTIF(Kontakty!$A$2:$A$124,A16)</f>
        <v/>
      </c>
      <c r="C16" s="2">
        <f>COUNTIFS(Kontakty!$A$2:$A$124,A16,Kontakty!$F$2:$F$124,"*@*")</f>
        <v/>
      </c>
      <c r="D16" s="2">
        <f>COUNTIFS(Kontakty!$A$2:$A$124,A16,Kontakty!$I$2:$I$124,1)</f>
        <v/>
      </c>
      <c r="E16" s="2">
        <f>COUNTIFS(Kontakty!$A$2:$A$124,A16,Kontakty!$J$2:$J$124,"Zweryfikowany")</f>
        <v/>
      </c>
    </row>
    <row r="17">
      <c r="A17" s="3" t="inlineStr">
        <is>
          <t>RAZEM</t>
        </is>
      </c>
      <c r="B17" s="3">
        <f>SUM(B2:B16)</f>
        <v/>
      </c>
      <c r="C17" s="3">
        <f>SUM(C2:C16)</f>
        <v/>
      </c>
      <c r="D17" s="3">
        <f>SUM(D2:D16)</f>
        <v/>
      </c>
      <c r="E17" s="3">
        <f>SUM(E2:E16)</f>
        <v/>
      </c>
    </row>
    <row r="20">
      <c r="A20" s="4" t="inlineStr">
        <is>
          <t>Legenda</t>
        </is>
      </c>
    </row>
    <row r="21">
      <c r="A21" s="5" t="inlineStr">
        <is>
          <t>Zweryfikowany – e-mail/kontakt opublikowany na oficjalnej stronie klubu (wiersz na zielono).</t>
        </is>
      </c>
    </row>
    <row r="22">
      <c r="A22" s="5" t="inlineStr">
        <is>
          <t>Częściowo – brak maila osoby – osoba i stanowisko potwierdzone, ale e-mail osoby nie jest publiczny lub jest ukryty przed botami; użyj kontaktu klubu.</t>
        </is>
      </c>
    </row>
    <row r="23">
      <c r="A23" s="5" t="inlineStr">
        <is>
          <t>Do potwierdzenia – dane ze źródła starszego lub nieoficjalnego; potwierdzić przed wysyłką (wiersz na pomarańczowo).</t>
        </is>
      </c>
    </row>
    <row r="24">
      <c r="A24" s="5" t="inlineStr">
        <is>
          <t>Priorytet: 1 = kontaktować w pierwszej kolejności, 3 = niski. Szwecja = kraj priorytetowy.</t>
        </is>
      </c>
    </row>
    <row r="25">
      <c r="A25" s="5" t="inlineStr">
        <is>
          <t>Nie podajemy maili z komercyjnych baz (RocketReach, Lusha itp.) ani maili zgadywanych z formatu domeny.</t>
        </is>
      </c>
    </row>
    <row r="26">
      <c r="A26" s="5" t="inlineStr">
        <is>
          <t>Belgia: wszystkie 18 klubów Pro League 26/27; Austria: 12 klubów Bundesligi; Szwajcaria: 12 klubów Super League.</t>
        </is>
      </c>
    </row>
    <row r="27">
      <c r="A27" s="5" t="inlineStr">
        <is>
          <t>Dania: wszystkie 12 klubów Superligi i 12 klubów 1. Division (sezon 26/27, wg Transfermarkt). Oceny akademii: licencja DBU 2026–2028.</t>
        </is>
      </c>
    </row>
    <row r="28">
      <c r="A28" s="5" t="inlineStr">
        <is>
          <t>Stan na: 26.09.2026. Stanowiska w klubach zmieniają się często – przed kampanią sprawdź źródło w kolumnie 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32" customWidth="1" min="4" max="4"/>
    <col width="32" customWidth="1" min="5" max="5"/>
    <col width="34" customWidth="1" min="6" max="6"/>
    <col width="34" customWidth="1" min="7" max="7"/>
    <col width="45" customWidth="1" min="8" max="8"/>
    <col width="10" customWidth="1" min="9" max="9"/>
    <col width="22" customWidth="1" min="10" max="10"/>
    <col width="40" customWidth="1" min="11" max="11"/>
  </cols>
  <sheetData>
    <row r="1" ht="30" customHeight="1">
      <c r="A1" s="6" t="inlineStr">
        <is>
          <t>Kraj</t>
        </is>
      </c>
      <c r="B1" s="6" t="inlineStr">
        <is>
          <t>Klub</t>
        </is>
      </c>
      <c r="C1" s="6" t="inlineStr">
        <is>
          <t>Osoba</t>
        </is>
      </c>
      <c r="D1" s="6" t="inlineStr">
        <is>
          <t>Stanowisko</t>
        </is>
      </c>
      <c r="E1" s="6" t="inlineStr">
        <is>
          <t>Obszar działania</t>
        </is>
      </c>
      <c r="F1" s="6" t="inlineStr">
        <is>
          <t>E-mail osoby (zweryfikowany)</t>
        </is>
      </c>
      <c r="G1" s="6" t="inlineStr">
        <is>
          <t>Oficjalny kontakt klubu</t>
        </is>
      </c>
      <c r="H1" s="6" t="inlineStr">
        <is>
          <t>Źródło</t>
        </is>
      </c>
      <c r="I1" s="6" t="inlineStr">
        <is>
          <t>Priorytet (1–3)</t>
        </is>
      </c>
      <c r="J1" s="6" t="inlineStr">
        <is>
          <t>Status weryfikacji</t>
        </is>
      </c>
      <c r="K1" s="6" t="inlineStr">
        <is>
          <t>Uwagi</t>
        </is>
      </c>
    </row>
    <row r="2">
      <c r="A2" s="7" t="inlineStr">
        <is>
          <t>Szwecja</t>
        </is>
      </c>
      <c r="B2" s="7" t="inlineStr">
        <is>
          <t>AIK</t>
        </is>
      </c>
      <c r="C2" s="7" t="inlineStr">
        <is>
          <t>Miika Takkula</t>
        </is>
      </c>
      <c r="D2" s="7" t="inlineStr">
        <is>
          <t>Head of Recruitment (Rekryteringschef)</t>
        </is>
      </c>
      <c r="E2" s="7" t="inlineStr">
        <is>
          <t>Rekrutacja seniorska, planowanie kadry, transfery</t>
        </is>
      </c>
      <c r="F2" s="7" t="inlineStr">
        <is>
          <t>miika.takkula@aikfotboll.se</t>
        </is>
      </c>
      <c r="G2" s="7" t="inlineStr">
        <is>
          <t>ungdom@aikfotboll.se</t>
        </is>
      </c>
      <c r="H2" s="8" t="inlineStr">
        <is>
          <t>https://www.aikfotboll.se/kontakta-oss/kontakt-med-lagen</t>
        </is>
      </c>
      <c r="I2" s="9" t="n">
        <v>1</v>
      </c>
      <c r="J2" s="7" t="inlineStr">
        <is>
          <t>Zweryfikowany</t>
        </is>
      </c>
      <c r="K2" s="7" t="inlineStr">
        <is>
          <t>Zatrudniony XII 2025</t>
        </is>
      </c>
    </row>
    <row r="3">
      <c r="A3" s="7" t="inlineStr">
        <is>
          <t>Szwecja</t>
        </is>
      </c>
      <c r="B3" s="7" t="inlineStr">
        <is>
          <t>AIK</t>
        </is>
      </c>
      <c r="C3" s="7" t="inlineStr">
        <is>
          <t>Herish Sadi</t>
        </is>
      </c>
      <c r="D3" s="7" t="inlineStr">
        <is>
          <t>Chefsscout (Chief Scout)</t>
        </is>
      </c>
      <c r="E3" s="7" t="inlineStr">
        <is>
          <t>Live-scouting, talenty krajowe, rynek afrykański</t>
        </is>
      </c>
      <c r="F3" s="7" t="inlineStr">
        <is>
          <t>herish.sadi@aikfotboll.se</t>
        </is>
      </c>
      <c r="G3" s="7" t="inlineStr">
        <is>
          <t>ungdom@aikfotboll.se</t>
        </is>
      </c>
      <c r="H3" s="8" t="inlineStr">
        <is>
          <t>https://www.aikfotboll.se/kontakta-oss/kontakt-med-lagen</t>
        </is>
      </c>
      <c r="I3" s="9" t="n">
        <v>1</v>
      </c>
      <c r="J3" s="7" t="inlineStr">
        <is>
          <t>Zweryfikowany</t>
        </is>
      </c>
      <c r="K3" s="7" t="inlineStr"/>
    </row>
    <row r="4">
      <c r="A4" s="7" t="inlineStr">
        <is>
          <t>Szwecja</t>
        </is>
      </c>
      <c r="B4" s="7" t="inlineStr">
        <is>
          <t>AIK</t>
        </is>
      </c>
      <c r="C4" s="7" t="inlineStr">
        <is>
          <t>Alexander Milošević</t>
        </is>
      </c>
      <c r="D4" s="7" t="inlineStr">
        <is>
          <t>Scout &amp; Rekryteringsansvarig, Akademi</t>
        </is>
      </c>
      <c r="E4" s="7" t="inlineStr">
        <is>
          <t>Scouting i rekrutacja do akademii</t>
        </is>
      </c>
      <c r="F4" s="7" t="inlineStr">
        <is>
          <t>alexander.milosevic@aikfotboll.se</t>
        </is>
      </c>
      <c r="G4" s="7" t="inlineStr">
        <is>
          <t>ungdom@aikfotboll.se</t>
        </is>
      </c>
      <c r="H4" s="8" t="inlineStr">
        <is>
          <t>https://www.aikfotboll.se/artiklar-och-nyheter/260130-alexander-milosevic-ny-scout-och-rekryteringsansvarig-for-akademin</t>
        </is>
      </c>
      <c r="I4" s="9" t="n">
        <v>1</v>
      </c>
      <c r="J4" s="7" t="inlineStr">
        <is>
          <t>Zweryfikowany</t>
        </is>
      </c>
      <c r="K4" s="7" t="inlineStr">
        <is>
          <t>Umowa 01.02.2026–31.12.2027</t>
        </is>
      </c>
    </row>
    <row r="5">
      <c r="A5" s="7" t="inlineStr">
        <is>
          <t>Szwecja</t>
        </is>
      </c>
      <c r="B5" s="7" t="inlineStr">
        <is>
          <t>IFK Göteborg</t>
        </is>
      </c>
      <c r="C5" s="7" t="inlineStr">
        <is>
          <t>Jonas Olsson</t>
        </is>
      </c>
      <c r="D5" s="7" t="inlineStr">
        <is>
          <t>Akademichef (Academy Director)</t>
        </is>
      </c>
      <c r="E5" s="7" t="inlineStr">
        <is>
          <t>Akademia</t>
        </is>
      </c>
      <c r="F5" s="7" t="inlineStr">
        <is>
          <t>jonas.olsson@ifkgoteborg.se</t>
        </is>
      </c>
      <c r="G5" s="7" t="inlineStr"/>
      <c r="H5" s="8" t="inlineStr">
        <is>
          <t>https://ifkgoteborg.se/om-ifk-goteborg/kontakt/</t>
        </is>
      </c>
      <c r="I5" s="9" t="n">
        <v>1</v>
      </c>
      <c r="J5" s="7" t="inlineStr">
        <is>
          <t>Zweryfikowany</t>
        </is>
      </c>
      <c r="K5" s="7" t="inlineStr"/>
    </row>
    <row r="6">
      <c r="A6" s="7" t="inlineStr">
        <is>
          <t>Szwecja</t>
        </is>
      </c>
      <c r="B6" s="7" t="inlineStr">
        <is>
          <t>Hammarby IF</t>
        </is>
      </c>
      <c r="C6" s="7" t="inlineStr">
        <is>
          <t>Atilla Börjeson</t>
        </is>
      </c>
      <c r="D6" s="7" t="inlineStr">
        <is>
          <t>Scout- och rekryteringsansvarig, pojkar</t>
        </is>
      </c>
      <c r="E6" s="7" t="inlineStr">
        <is>
          <t>Scouting/rekrutacja akademii (chłopcy)</t>
        </is>
      </c>
      <c r="F6" s="7" t="inlineStr">
        <is>
          <t>atilla.borjeson@hammarbyungdom.se</t>
        </is>
      </c>
      <c r="G6" s="7" t="inlineStr">
        <is>
          <t>08-462 88 10</t>
        </is>
      </c>
      <c r="H6" s="8" t="inlineStr">
        <is>
          <t>https://www.hammarbyfotboll.se/kontakt/</t>
        </is>
      </c>
      <c r="I6" s="9" t="n">
        <v>1</v>
      </c>
      <c r="J6" s="7" t="inlineStr">
        <is>
          <t>Zweryfikowany</t>
        </is>
      </c>
      <c r="K6" s="7" t="inlineStr"/>
    </row>
    <row r="7">
      <c r="A7" s="7" t="inlineStr">
        <is>
          <t>Szwecja</t>
        </is>
      </c>
      <c r="B7" s="7" t="inlineStr">
        <is>
          <t>Hammarby IF</t>
        </is>
      </c>
      <c r="C7" s="7" t="inlineStr">
        <is>
          <t>Mathias Rosengård</t>
        </is>
      </c>
      <c r="D7" s="7" t="inlineStr">
        <is>
          <t>Akademichef HTFF (Hammarby Talang FF)</t>
        </is>
      </c>
      <c r="E7" s="7" t="inlineStr">
        <is>
          <t>Akademia / drużyna rozwojowa</t>
        </is>
      </c>
      <c r="F7" s="7" t="inlineStr">
        <is>
          <t>mathias.rosengard@hammarbyungdom.se</t>
        </is>
      </c>
      <c r="G7" s="7" t="inlineStr">
        <is>
          <t>08-462 88 10</t>
        </is>
      </c>
      <c r="H7" s="8" t="inlineStr">
        <is>
          <t>https://www.hammarbyfotboll.se/kontakt/</t>
        </is>
      </c>
      <c r="I7" s="9" t="n">
        <v>1</v>
      </c>
      <c r="J7" s="7" t="inlineStr">
        <is>
          <t>Zweryfikowany</t>
        </is>
      </c>
      <c r="K7" s="7" t="inlineStr"/>
    </row>
    <row r="8">
      <c r="A8" s="7" t="inlineStr">
        <is>
          <t>Szwecja</t>
        </is>
      </c>
      <c r="B8" s="7" t="inlineStr">
        <is>
          <t>Djurgårdens IF</t>
        </is>
      </c>
      <c r="C8" s="7" t="inlineStr">
        <is>
          <t>(funkcja) Rekrytering P15–19</t>
        </is>
      </c>
      <c r="D8" s="7" t="inlineStr">
        <is>
          <t>Rekrytering P15–P19</t>
        </is>
      </c>
      <c r="E8" s="7" t="inlineStr">
        <is>
          <t>Rekrutacja akademii U15–U19</t>
        </is>
      </c>
      <c r="F8" s="7" t="inlineStr">
        <is>
          <t>ukryty na stronie (ochrona antyspamowa) – skopiuj ze strony</t>
        </is>
      </c>
      <c r="G8" s="7" t="inlineStr">
        <is>
          <t>Djurgårdens Elitfotboll AB, Box 24053, 104 50 Stockholm</t>
        </is>
      </c>
      <c r="H8" s="8" t="inlineStr">
        <is>
          <t>https://www.dif.se/om-dif/kontakt</t>
        </is>
      </c>
      <c r="I8" s="9" t="n">
        <v>1</v>
      </c>
      <c r="J8" s="7" t="inlineStr">
        <is>
          <t>Częściowo – brak maila osoby</t>
        </is>
      </c>
      <c r="K8" s="7" t="inlineStr">
        <is>
          <t>Na stronie także: Akademichef A10-15/PA16-19, Utvecklingschef PA16-19</t>
        </is>
      </c>
    </row>
    <row r="9">
      <c r="A9" s="7" t="inlineStr">
        <is>
          <t>Szwecja</t>
        </is>
      </c>
      <c r="B9" s="7" t="inlineStr">
        <is>
          <t>BK Häcken</t>
        </is>
      </c>
      <c r="C9" s="7" t="inlineStr">
        <is>
          <t>Alfons Petersson</t>
        </is>
      </c>
      <c r="D9" s="7" t="inlineStr">
        <is>
          <t>Scoutingansvarig Akademi/Ungdom</t>
        </is>
      </c>
      <c r="E9" s="7" t="inlineStr">
        <is>
          <t>Scouting akademii</t>
        </is>
      </c>
      <c r="F9" s="7" t="inlineStr">
        <is>
          <t>ukryty na stronie (ochrona antyspamowa) – skopiuj ze strony</t>
        </is>
      </c>
      <c r="G9" s="7" t="inlineStr">
        <is>
          <t>tel. 073-544 94 11; scouttickets@bkhacken.se (akredytacje scoutów)</t>
        </is>
      </c>
      <c r="H9" s="8" t="inlineStr">
        <is>
          <t>https://bkhacken.se/sida/pojkakademi-ledare</t>
        </is>
      </c>
      <c r="I9" s="9" t="n">
        <v>1</v>
      </c>
      <c r="J9" s="7" t="inlineStr">
        <is>
          <t>Częściowo – brak maila osoby</t>
        </is>
      </c>
      <c r="K9" s="7" t="inlineStr"/>
    </row>
    <row r="10">
      <c r="A10" s="7" t="inlineStr">
        <is>
          <t>Szwecja</t>
        </is>
      </c>
      <c r="B10" s="7" t="inlineStr">
        <is>
          <t>Malmö FF</t>
        </is>
      </c>
      <c r="C10" s="7" t="inlineStr">
        <is>
          <t>—</t>
        </is>
      </c>
      <c r="D10" s="7" t="inlineStr">
        <is>
          <t>—</t>
        </is>
      </c>
      <c r="E10" s="7" t="inlineStr">
        <is>
          <t>Kontakt ogólny</t>
        </is>
      </c>
      <c r="F10" s="7" t="inlineStr"/>
      <c r="G10" s="7" t="inlineStr">
        <is>
          <t>info@mff.se</t>
        </is>
      </c>
      <c r="H10" s="8" t="inlineStr">
        <is>
          <t>https://www.mff.se/om-malmo-ff/kontakt/</t>
        </is>
      </c>
      <c r="I10" s="9" t="n">
        <v>2</v>
      </c>
      <c r="J10" s="7" t="inlineStr">
        <is>
          <t>Częściowo – brak maila osoby</t>
        </is>
      </c>
      <c r="K10" s="7" t="inlineStr">
        <is>
          <t>Brak publicznego maila do rekrutacji akademii</t>
        </is>
      </c>
    </row>
    <row r="11">
      <c r="A11" s="7" t="inlineStr">
        <is>
          <t>Szwecja</t>
        </is>
      </c>
      <c r="B11" s="7" t="inlineStr">
        <is>
          <t>IF Elfsborg</t>
        </is>
      </c>
      <c r="C11" s="7" t="inlineStr">
        <is>
          <t>—</t>
        </is>
      </c>
      <c r="D11" s="7" t="inlineStr">
        <is>
          <t>—</t>
        </is>
      </c>
      <c r="E11" s="7" t="inlineStr">
        <is>
          <t>Kontakt ogólny</t>
        </is>
      </c>
      <c r="F11" s="7" t="inlineStr"/>
      <c r="G11" s="7" t="inlineStr">
        <is>
          <t>info@elfsborg.se; 033-13 91 91</t>
        </is>
      </c>
      <c r="H11" s="8" t="inlineStr">
        <is>
          <t>https://elfsborg.se/for-foretag/kontakta-oss/</t>
        </is>
      </c>
      <c r="I11" s="9" t="n">
        <v>2</v>
      </c>
      <c r="J11" s="7" t="inlineStr">
        <is>
          <t>Częściowo – brak maila osoby</t>
        </is>
      </c>
      <c r="K11" s="7" t="inlineStr">
        <is>
          <t>Brak publicznego maila do rekrutacji akademii</t>
        </is>
      </c>
    </row>
    <row r="12">
      <c r="A12" s="7" t="inlineStr">
        <is>
          <t>Dania</t>
        </is>
      </c>
      <c r="B12" s="7" t="inlineStr">
        <is>
          <t>FC Nordsjælland</t>
        </is>
      </c>
      <c r="C12" s="7" t="inlineStr">
        <is>
          <t>Herekol Tanrisever</t>
        </is>
      </c>
      <c r="D12" s="7" t="inlineStr">
        <is>
          <t>Head of Scouting &amp; Recruitment U14–U19</t>
        </is>
      </c>
      <c r="E12" s="7" t="inlineStr">
        <is>
          <t>Scouting/rekrutacja U14–U19 (chłopcy)</t>
        </is>
      </c>
      <c r="F12" s="7" t="inlineStr">
        <is>
          <t>ukryty na stronie (ochrona antyspamowa) – skopiuj ze strony</t>
        </is>
      </c>
      <c r="G12" s="7" t="inlineStr"/>
      <c r="H12" s="8" t="inlineStr">
        <is>
          <t>https://fcn.dk/akademi/kontakt</t>
        </is>
      </c>
      <c r="I12" s="9" t="n">
        <v>1</v>
      </c>
      <c r="J12" s="7" t="inlineStr">
        <is>
          <t>Częściowo – brak maila osoby</t>
        </is>
      </c>
      <c r="K12" s="7" t="inlineStr">
        <is>
          <t>Superliga. Najlepsza akademia w DK 2026 (DBU 5★, 97,0/100)</t>
        </is>
      </c>
    </row>
    <row r="13">
      <c r="A13" s="7" t="inlineStr">
        <is>
          <t>Dania</t>
        </is>
      </c>
      <c r="B13" s="7" t="inlineStr">
        <is>
          <t>FC Nordsjælland</t>
        </is>
      </c>
      <c r="C13" s="7" t="inlineStr">
        <is>
          <t>Bertram Pedersen</t>
        </is>
      </c>
      <c r="D13" s="7" t="inlineStr">
        <is>
          <t>Head of Scouting &amp; Recruitment U11–U13</t>
        </is>
      </c>
      <c r="E13" s="7" t="inlineStr">
        <is>
          <t>Scouting/rekrutacja U11–U13 (chłopcy)</t>
        </is>
      </c>
      <c r="F13" s="7" t="inlineStr">
        <is>
          <t>ukryty na stronie (ochrona antyspamowa) – skopiuj ze strony</t>
        </is>
      </c>
      <c r="G13" s="7" t="inlineStr"/>
      <c r="H13" s="8" t="inlineStr">
        <is>
          <t>https://fcn.dk/akademi/kontakt</t>
        </is>
      </c>
      <c r="I13" s="9" t="n">
        <v>1</v>
      </c>
      <c r="J13" s="7" t="inlineStr">
        <is>
          <t>Częściowo – brak maila osoby</t>
        </is>
      </c>
      <c r="K13" s="7" t="inlineStr">
        <is>
          <t>Superliga</t>
        </is>
      </c>
    </row>
    <row r="14">
      <c r="A14" s="7" t="inlineStr">
        <is>
          <t>Dania</t>
        </is>
      </c>
      <c r="B14" s="7" t="inlineStr">
        <is>
          <t>FC Midtjylland</t>
        </is>
      </c>
      <c r="C14" s="7" t="inlineStr">
        <is>
          <t>Kristian Kjær</t>
        </is>
      </c>
      <c r="D14" s="7" t="inlineStr">
        <is>
          <t>Director of Recruitment</t>
        </is>
      </c>
      <c r="E14" s="7" t="inlineStr">
        <is>
          <t>Rekrutacja (dział rekrutacji)</t>
        </is>
      </c>
      <c r="F14" s="7" t="inlineStr">
        <is>
          <t>kfk@fcm.dk</t>
        </is>
      </c>
      <c r="G14" s="7" t="inlineStr">
        <is>
          <t>uddannelse@fcm.dk</t>
        </is>
      </c>
      <c r="H14" s="8" t="inlineStr">
        <is>
          <t>https://www.fcm.dk/drengeakademiet/</t>
        </is>
      </c>
      <c r="I14" s="9" t="n">
        <v>1</v>
      </c>
      <c r="J14" s="7" t="inlineStr">
        <is>
          <t>Zweryfikowany</t>
        </is>
      </c>
      <c r="K14" s="7" t="inlineStr">
        <is>
          <t>Superliga. DBU 5★. Head of Academy Recruitment: Mads Agner Veng (mail niepubliczny)</t>
        </is>
      </c>
    </row>
    <row r="15">
      <c r="A15" s="7" t="inlineStr">
        <is>
          <t>Dania</t>
        </is>
      </c>
      <c r="B15" s="7" t="inlineStr">
        <is>
          <t>F.C. København</t>
        </is>
      </c>
      <c r="C15" s="7" t="inlineStr">
        <is>
          <t>Christian Wilkens</t>
        </is>
      </c>
      <c r="D15" s="7" t="inlineStr">
        <is>
          <t>Head of Recruitment (FCK Talent)</t>
        </is>
      </c>
      <c r="E15" s="7" t="inlineStr">
        <is>
          <t>Rekrutacja akademii (starsze roczniki)</t>
        </is>
      </c>
      <c r="F15" s="7" t="inlineStr"/>
      <c r="G15" s="7" t="inlineStr"/>
      <c r="H15" s="8" t="inlineStr">
        <is>
          <t>https://www.fck.dk/en/content/fck-talent-department-staff-and-officials</t>
        </is>
      </c>
      <c r="I15" s="9" t="n">
        <v>1</v>
      </c>
      <c r="J15" s="7" t="inlineStr">
        <is>
          <t>Częściowo – brak maila osoby</t>
        </is>
      </c>
      <c r="K15" s="7" t="inlineStr">
        <is>
          <t>Superliga. DBU 5★. Stanowisko U12–U13 wolne po odejściu R. Ankera do Lyngby (VIII 2026)</t>
        </is>
      </c>
    </row>
    <row r="16">
      <c r="A16" s="7" t="inlineStr">
        <is>
          <t>Dania</t>
        </is>
      </c>
      <c r="B16" s="7" t="inlineStr">
        <is>
          <t>Brøndby IF</t>
        </is>
      </c>
      <c r="C16" s="7" t="inlineStr">
        <is>
          <t>Christian Morsing</t>
        </is>
      </c>
      <c r="D16" s="7" t="inlineStr">
        <is>
          <t>Rekrutteringsansvarlig, Brøndby Masterclass</t>
        </is>
      </c>
      <c r="E16" s="7" t="inlineStr">
        <is>
          <t>Kontakt z klubami ws. rekrutacji do akademii</t>
        </is>
      </c>
      <c r="F16" s="7" t="inlineStr"/>
      <c r="G16" s="7" t="inlineStr">
        <is>
          <t>scouting.brondby.com; tel. +45 43 63 08 10</t>
        </is>
      </c>
      <c r="H16" s="8" t="inlineStr">
        <is>
          <t>https://brondby.com/masterclass/om-masterclass/rekrutteringsprocedure-i-brondby-masterclass</t>
        </is>
      </c>
      <c r="I16" s="9" t="n">
        <v>1</v>
      </c>
      <c r="J16" s="7" t="inlineStr">
        <is>
          <t>Częściowo – brak maila osoby</t>
        </is>
      </c>
      <c r="K16" s="7" t="inlineStr">
        <is>
          <t>Superliga. DBU 4,5★ (89,39). Academy Director: Bjørn Holm; Head of Development: Jonas Bliksted</t>
        </is>
      </c>
    </row>
    <row r="17">
      <c r="A17" s="7" t="inlineStr">
        <is>
          <t>Dania</t>
        </is>
      </c>
      <c r="B17" s="7" t="inlineStr">
        <is>
          <t>Lyngby Boldklub</t>
        </is>
      </c>
      <c r="C17" s="7" t="inlineStr">
        <is>
          <t>Karsten Stiig Alnor</t>
        </is>
      </c>
      <c r="D17" s="7" t="inlineStr">
        <is>
          <t>Akademichef</t>
        </is>
      </c>
      <c r="E17" s="7" t="inlineStr">
        <is>
          <t>Akademia</t>
        </is>
      </c>
      <c r="F17" s="7" t="inlineStr">
        <is>
          <t>ks@lyngby-boldklub.dk</t>
        </is>
      </c>
      <c r="G17" s="7" t="inlineStr"/>
      <c r="H17" s="8" t="inlineStr">
        <is>
          <t>https://lyngby-boldklub.dk/kontakt/</t>
        </is>
      </c>
      <c r="I17" s="9" t="n">
        <v>1</v>
      </c>
      <c r="J17" s="7" t="inlineStr">
        <is>
          <t>Zweryfikowany</t>
        </is>
      </c>
      <c r="K17" s="7" t="inlineStr">
        <is>
          <t>Superliga (beniaminek). DBU 4★</t>
        </is>
      </c>
    </row>
    <row r="18">
      <c r="A18" s="7" t="inlineStr">
        <is>
          <t>Dania</t>
        </is>
      </c>
      <c r="B18" s="7" t="inlineStr">
        <is>
          <t>Lyngby Boldklub</t>
        </is>
      </c>
      <c r="C18" s="7" t="inlineStr">
        <is>
          <t>Rasmus Anker</t>
        </is>
      </c>
      <c r="D18" s="7" t="inlineStr">
        <is>
          <t>Chef for rekruttering og scouting</t>
        </is>
      </c>
      <c r="E18" s="7" t="inlineStr">
        <is>
          <t>Scouting/rekrutacja akademia → 1. zespół</t>
        </is>
      </c>
      <c r="F18" s="7" t="inlineStr"/>
      <c r="G18" s="7" t="inlineStr"/>
      <c r="H18" s="8" t="inlineStr">
        <is>
          <t>https://lyngby-boldklub.dk/2026/06/25/rasmus-anker-bliver-ny-chef-for-rekruttering-og-scouting/</t>
        </is>
      </c>
      <c r="I18" s="9" t="n">
        <v>1</v>
      </c>
      <c r="J18" s="7" t="inlineStr">
        <is>
          <t>Częściowo – brak maila osoby</t>
        </is>
      </c>
      <c r="K18" s="7" t="inlineStr">
        <is>
          <t>Od 01.08.2026 (wcześniej FCK). Nowy mail niepubliczny – stary rsa@fck.dk nieaktualny</t>
        </is>
      </c>
    </row>
    <row r="19">
      <c r="A19" s="7" t="inlineStr">
        <is>
          <t>Dania</t>
        </is>
      </c>
      <c r="B19" s="7" t="inlineStr">
        <is>
          <t>AGF</t>
        </is>
      </c>
      <c r="C19" s="7" t="inlineStr">
        <is>
          <t>Marc Søballe Pedersen</t>
        </is>
      </c>
      <c r="D19" s="7" t="inlineStr">
        <is>
          <t>Talentchef (AGF Talent)</t>
        </is>
      </c>
      <c r="E19" s="7" t="inlineStr">
        <is>
          <t>Akademia</t>
        </is>
      </c>
      <c r="F19" s="7" t="inlineStr"/>
      <c r="G19" s="7" t="inlineStr"/>
      <c r="H19" s="8" t="inlineStr">
        <is>
          <t>https://agf.dk/agf-talent</t>
        </is>
      </c>
      <c r="I19" s="9" t="n">
        <v>1</v>
      </c>
      <c r="J19" s="7" t="inlineStr">
        <is>
          <t>Częściowo – brak maila osoby</t>
        </is>
      </c>
      <c r="K19" s="7" t="inlineStr">
        <is>
          <t>Superliga. Rekrutacja U13–U17: Kenneth Djoeneri; U10–U12: René Klok</t>
        </is>
      </c>
    </row>
    <row r="20">
      <c r="A20" s="7" t="inlineStr">
        <is>
          <t>Dania</t>
        </is>
      </c>
      <c r="B20" s="7" t="inlineStr">
        <is>
          <t>OB (Odense Boldklub)</t>
        </is>
      </c>
      <c r="C20" s="7" t="inlineStr">
        <is>
          <t>Ulrik Bredegaard</t>
        </is>
      </c>
      <c r="D20" s="7" t="inlineStr">
        <is>
          <t>Akademichef</t>
        </is>
      </c>
      <c r="E20" s="7" t="inlineStr">
        <is>
          <t>Akademia</t>
        </is>
      </c>
      <c r="F20" s="7" t="inlineStr">
        <is>
          <t>ulrik.bredegaard@ob.dk</t>
        </is>
      </c>
      <c r="G20" s="7" t="inlineStr"/>
      <c r="H20" s="8" t="inlineStr">
        <is>
          <t>https://ob.dk/hold/akademi/akademiets-personale</t>
        </is>
      </c>
      <c r="I20" s="9" t="n">
        <v>1</v>
      </c>
      <c r="J20" s="7" t="inlineStr">
        <is>
          <t>Zweryfikowany</t>
        </is>
      </c>
      <c r="K20" s="7" t="inlineStr">
        <is>
          <t>Superliga. Talentchef: Benjamin Ajslev</t>
        </is>
      </c>
    </row>
    <row r="21">
      <c r="A21" s="7" t="inlineStr">
        <is>
          <t>Dania</t>
        </is>
      </c>
      <c r="B21" s="7" t="inlineStr">
        <is>
          <t>Silkeborg IF</t>
        </is>
      </c>
      <c r="C21" s="7" t="inlineStr">
        <is>
          <t>Nicolaj Bækgaard</t>
        </is>
      </c>
      <c r="D21" s="7" t="inlineStr">
        <is>
          <t>Rekrutteringsansvarlig</t>
        </is>
      </c>
      <c r="E21" s="7" t="inlineStr">
        <is>
          <t>Zapytania ws. młodych zawodników</t>
        </is>
      </c>
      <c r="F21" s="7" t="inlineStr">
        <is>
          <t>nb@silkeborgif.com</t>
        </is>
      </c>
      <c r="G21" s="7" t="inlineStr">
        <is>
          <t>tel. 22 98 96 10</t>
        </is>
      </c>
      <c r="H21" s="8" t="inlineStr">
        <is>
          <t>https://www.silkeborgif.com/talent/kontakt/</t>
        </is>
      </c>
      <c r="I21" s="9" t="n">
        <v>1</v>
      </c>
      <c r="J21" s="7" t="inlineStr">
        <is>
          <t>Zweryfikowany</t>
        </is>
      </c>
      <c r="K21" s="7" t="inlineStr">
        <is>
          <t>Superliga</t>
        </is>
      </c>
    </row>
    <row r="22">
      <c r="A22" s="7" t="inlineStr">
        <is>
          <t>Dania</t>
        </is>
      </c>
      <c r="B22" s="7" t="inlineStr">
        <is>
          <t>Silkeborg IF</t>
        </is>
      </c>
      <c r="C22" s="7" t="inlineStr">
        <is>
          <t>Peter Christian Hansen</t>
        </is>
      </c>
      <c r="D22" s="7" t="inlineStr">
        <is>
          <t>Talentchef</t>
        </is>
      </c>
      <c r="E22" s="7" t="inlineStr">
        <is>
          <t>Akademia</t>
        </is>
      </c>
      <c r="F22" s="7" t="inlineStr">
        <is>
          <t>pc@silkeborgif.com</t>
        </is>
      </c>
      <c r="G22" s="7" t="inlineStr">
        <is>
          <t>+45 20 27 58 35</t>
        </is>
      </c>
      <c r="H22" s="8" t="inlineStr">
        <is>
          <t>https://www.silkeborgif.com/talent/kontakt/</t>
        </is>
      </c>
      <c r="I22" s="9" t="n">
        <v>1</v>
      </c>
      <c r="J22" s="7" t="inlineStr">
        <is>
          <t>Zweryfikowany</t>
        </is>
      </c>
      <c r="K22" s="7" t="inlineStr">
        <is>
          <t>Superliga</t>
        </is>
      </c>
    </row>
    <row r="23">
      <c r="A23" s="7" t="inlineStr">
        <is>
          <t>Dania</t>
        </is>
      </c>
      <c r="B23" s="7" t="inlineStr">
        <is>
          <t>Randers FC</t>
        </is>
      </c>
      <c r="C23" s="7" t="inlineStr">
        <is>
          <t>Peter Elstrup</t>
        </is>
      </c>
      <c r="D23" s="7" t="inlineStr">
        <is>
          <t>Talentchef &amp; Head of Coaching</t>
        </is>
      </c>
      <c r="E23" s="7" t="inlineStr">
        <is>
          <t>Akademia</t>
        </is>
      </c>
      <c r="F23" s="7" t="inlineStr">
        <is>
          <t>pe@randersfc.dk</t>
        </is>
      </c>
      <c r="G23" s="7" t="inlineStr">
        <is>
          <t>+45 25 60 21 51; randersfc@randersfc.dk</t>
        </is>
      </c>
      <c r="H23" s="8" t="inlineStr">
        <is>
          <t>https://randersfc.dk/talent/kontakt/</t>
        </is>
      </c>
      <c r="I23" s="9" t="n">
        <v>1</v>
      </c>
      <c r="J23" s="7" t="inlineStr">
        <is>
          <t>Zweryfikowany</t>
        </is>
      </c>
      <c r="K23" s="7" t="inlineStr">
        <is>
          <t>Superliga</t>
        </is>
      </c>
    </row>
    <row r="24">
      <c r="A24" s="7" t="inlineStr">
        <is>
          <t>Dania</t>
        </is>
      </c>
      <c r="B24" s="7" t="inlineStr">
        <is>
          <t>AaB (Aalborg)</t>
        </is>
      </c>
      <c r="C24" s="7" t="inlineStr">
        <is>
          <t>Jakob Ahlmann</t>
        </is>
      </c>
      <c r="D24" s="7" t="inlineStr">
        <is>
          <t>Ansvarlig for kontraktspillere og rekruttering U15–U19</t>
        </is>
      </c>
      <c r="E24" s="7" t="inlineStr">
        <is>
          <t>Rekrutacja do akademii</t>
        </is>
      </c>
      <c r="F24" s="7" t="inlineStr">
        <is>
          <t>jah@aab-as.dk</t>
        </is>
      </c>
      <c r="G24" s="7" t="inlineStr">
        <is>
          <t>tel. 28 40 15 89</t>
        </is>
      </c>
      <c r="H24" s="8" t="inlineStr">
        <is>
          <t>https://aabsport.dk/akademiet/om-aab-akademiet/</t>
        </is>
      </c>
      <c r="I24" s="9" t="n">
        <v>1</v>
      </c>
      <c r="J24" s="7" t="inlineStr">
        <is>
          <t>Zweryfikowany</t>
        </is>
      </c>
      <c r="K24" s="7" t="inlineStr">
        <is>
          <t>1. Division. Rola od 01.02.2026</t>
        </is>
      </c>
    </row>
    <row r="25">
      <c r="A25" s="7" t="inlineStr">
        <is>
          <t>Dania</t>
        </is>
      </c>
      <c r="B25" s="7" t="inlineStr">
        <is>
          <t>AaB (Aalborg)</t>
        </is>
      </c>
      <c r="C25" s="7" t="inlineStr">
        <is>
          <t>Mathias Krogh</t>
        </is>
      </c>
      <c r="D25" s="7" t="inlineStr">
        <is>
          <t>Akademichef</t>
        </is>
      </c>
      <c r="E25" s="7" t="inlineStr">
        <is>
          <t>Akademia</t>
        </is>
      </c>
      <c r="F25" s="7" t="inlineStr">
        <is>
          <t>mak@aab-as.dk</t>
        </is>
      </c>
      <c r="G25" s="7" t="inlineStr"/>
      <c r="H25" s="8" t="inlineStr">
        <is>
          <t>https://aabsport.dk/akademiet/om-aab-akademiet/</t>
        </is>
      </c>
      <c r="I25" s="9" t="n">
        <v>1</v>
      </c>
      <c r="J25" s="7" t="inlineStr">
        <is>
          <t>Zweryfikowany</t>
        </is>
      </c>
      <c r="K25" s="7" t="inlineStr">
        <is>
          <t>1. Division</t>
        </is>
      </c>
    </row>
    <row r="26">
      <c r="A26" s="7" t="inlineStr">
        <is>
          <t>Dania</t>
        </is>
      </c>
      <c r="B26" s="7" t="inlineStr">
        <is>
          <t>FC Nordsjælland</t>
        </is>
      </c>
      <c r="C26" s="7" t="inlineStr">
        <is>
          <t>David Poulsen</t>
        </is>
      </c>
      <c r="D26" s="7" t="inlineStr">
        <is>
          <t>Lead Scout U7–U10</t>
        </is>
      </c>
      <c r="E26" s="7" t="inlineStr">
        <is>
          <t>Scouting U7–U10</t>
        </is>
      </c>
      <c r="F26" s="7" t="inlineStr">
        <is>
          <t>ukryty na stronie (ochrona antyspamowa) – skopiuj ze strony</t>
        </is>
      </c>
      <c r="G26" s="7" t="inlineStr"/>
      <c r="H26" s="8" t="inlineStr">
        <is>
          <t>https://fcn.dk/akademi/kontakt</t>
        </is>
      </c>
      <c r="I26" s="9" t="n">
        <v>2</v>
      </c>
      <c r="J26" s="7" t="inlineStr">
        <is>
          <t>Częściowo – brak maila osoby</t>
        </is>
      </c>
      <c r="K26" s="7" t="inlineStr">
        <is>
          <t>Superliga</t>
        </is>
      </c>
    </row>
    <row r="27">
      <c r="A27" s="7" t="inlineStr">
        <is>
          <t>Dania</t>
        </is>
      </c>
      <c r="B27" s="7" t="inlineStr">
        <is>
          <t>F.C. København</t>
        </is>
      </c>
      <c r="C27" s="7" t="inlineStr">
        <is>
          <t>Rasmus Hahnemann</t>
        </is>
      </c>
      <c r="D27" s="7" t="inlineStr">
        <is>
          <t>Head Scout &amp; Recruitment Manager U10–U11, ATK+</t>
        </is>
      </c>
      <c r="E27" s="7" t="inlineStr">
        <is>
          <t>Scouting/rekrutacja U10–U11</t>
        </is>
      </c>
      <c r="F27" s="7" t="inlineStr">
        <is>
          <t>raha@fck.dk</t>
        </is>
      </c>
      <c r="G27" s="7" t="inlineStr"/>
      <c r="H27" s="8" t="inlineStr">
        <is>
          <t>https://www.fck.dk/indhold/procedurer-rekruttering-i-talentafdelingen</t>
        </is>
      </c>
      <c r="I27" s="9" t="n">
        <v>2</v>
      </c>
      <c r="J27" s="7" t="inlineStr">
        <is>
          <t>Zweryfikowany</t>
        </is>
      </c>
      <c r="K27" s="7" t="inlineStr">
        <is>
          <t>Superliga</t>
        </is>
      </c>
    </row>
    <row r="28">
      <c r="A28" s="7" t="inlineStr">
        <is>
          <t>Dania</t>
        </is>
      </c>
      <c r="B28" s="7" t="inlineStr">
        <is>
          <t>Viborg FF</t>
        </is>
      </c>
      <c r="C28" s="7" t="inlineStr">
        <is>
          <t>Mads Holm</t>
        </is>
      </c>
      <c r="D28" s="7" t="inlineStr">
        <is>
          <t>Talentchef</t>
        </is>
      </c>
      <c r="E28" s="7" t="inlineStr">
        <is>
          <t>Akademia</t>
        </is>
      </c>
      <c r="F28" s="7" t="inlineStr">
        <is>
          <t>ukryty na stronie (ochrona antyspamowa) – skopiuj ze strony</t>
        </is>
      </c>
      <c r="G28" s="7" t="inlineStr">
        <is>
          <t>kundeservice@vff.dk</t>
        </is>
      </c>
      <c r="H28" s="8" t="inlineStr">
        <is>
          <t>https://www.vff.dk/viborg-f-f/kontaktinfo</t>
        </is>
      </c>
      <c r="I28" s="9" t="n">
        <v>2</v>
      </c>
      <c r="J28" s="7" t="inlineStr">
        <is>
          <t>Częściowo – brak maila osoby</t>
        </is>
      </c>
      <c r="K28" s="7" t="inlineStr">
        <is>
          <t>Superliga</t>
        </is>
      </c>
    </row>
    <row r="29">
      <c r="A29" s="7" t="inlineStr">
        <is>
          <t>Dania</t>
        </is>
      </c>
      <c r="B29" s="7" t="inlineStr">
        <is>
          <t>Sønderjyske Fodbold</t>
        </is>
      </c>
      <c r="C29" s="7" t="inlineStr">
        <is>
          <t>Joshua Karesch</t>
        </is>
      </c>
      <c r="D29" s="7" t="inlineStr">
        <is>
          <t>Scout &amp; Recruitment Manager</t>
        </is>
      </c>
      <c r="E29" s="7" t="inlineStr">
        <is>
          <t>Scouting/rekrutacja akademii</t>
        </is>
      </c>
      <c r="F29" s="7" t="inlineStr">
        <is>
          <t>jk@soenderjyskefodbold.dk</t>
        </is>
      </c>
      <c r="G29" s="7" t="inlineStr"/>
      <c r="H29" s="8" t="inlineStr">
        <is>
          <t>https://soenderjyskefodbold.dk/scouting-rekruttering/</t>
        </is>
      </c>
      <c r="I29" s="9" t="n">
        <v>2</v>
      </c>
      <c r="J29" s="7" t="inlineStr">
        <is>
          <t>Zweryfikowany</t>
        </is>
      </c>
      <c r="K29" s="7" t="inlineStr">
        <is>
          <t>Superliga. Scout: Steffen Dam – dam@soenderjyskefodbold.dk</t>
        </is>
      </c>
    </row>
    <row r="30">
      <c r="A30" s="7" t="inlineStr">
        <is>
          <t>Dania</t>
        </is>
      </c>
      <c r="B30" s="7" t="inlineStr">
        <is>
          <t>AC Horsens</t>
        </is>
      </c>
      <c r="C30" s="7" t="inlineStr">
        <is>
          <t>Martin Bloch</t>
        </is>
      </c>
      <c r="D30" s="7" t="inlineStr">
        <is>
          <t>Talentchef</t>
        </is>
      </c>
      <c r="E30" s="7" t="inlineStr">
        <is>
          <t>Akademia</t>
        </is>
      </c>
      <c r="F30" s="7" t="inlineStr">
        <is>
          <t>ukryty na stronie (ochrona antyspamowa) – skopiuj ze strony</t>
        </is>
      </c>
      <c r="G30" s="7" t="inlineStr">
        <is>
          <t>tel. 75 62 60 20</t>
        </is>
      </c>
      <c r="H30" s="8" t="inlineStr">
        <is>
          <t>https://achorsens.dk/ansatte/akademiet</t>
        </is>
      </c>
      <c r="I30" s="9" t="n">
        <v>2</v>
      </c>
      <c r="J30" s="7" t="inlineStr">
        <is>
          <t>Częściowo – brak maila osoby</t>
        </is>
      </c>
      <c r="K30" s="7" t="inlineStr">
        <is>
          <t>Superliga (beniaminek)</t>
        </is>
      </c>
    </row>
    <row r="31">
      <c r="A31" s="7" t="inlineStr">
        <is>
          <t>Dania</t>
        </is>
      </c>
      <c r="B31" s="7" t="inlineStr">
        <is>
          <t>Vejle Boldklub</t>
        </is>
      </c>
      <c r="C31" s="7" t="inlineStr">
        <is>
          <t>Steen Thychosen</t>
        </is>
      </c>
      <c r="D31" s="7" t="inlineStr">
        <is>
          <t>Talentchef</t>
        </is>
      </c>
      <c r="E31" s="7" t="inlineStr">
        <is>
          <t>VB Akademiet</t>
        </is>
      </c>
      <c r="F31" s="7" t="inlineStr">
        <is>
          <t>st@vejle-boldklub.dk</t>
        </is>
      </c>
      <c r="G31" s="7" t="inlineStr">
        <is>
          <t>+45 24 97 70 10</t>
        </is>
      </c>
      <c r="H31" s="8" t="inlineStr">
        <is>
          <t>https://vejle-boldklub.dk/vb-akademiet/staben</t>
        </is>
      </c>
      <c r="I31" s="9" t="n">
        <v>2</v>
      </c>
      <c r="J31" s="7" t="inlineStr">
        <is>
          <t>Zweryfikowany</t>
        </is>
      </c>
      <c r="K31" s="7" t="inlineStr">
        <is>
          <t>1. Division</t>
        </is>
      </c>
    </row>
    <row r="32">
      <c r="A32" s="7" t="inlineStr">
        <is>
          <t>Dania</t>
        </is>
      </c>
      <c r="B32" s="7" t="inlineStr">
        <is>
          <t>Esbjerg fB</t>
        </is>
      </c>
      <c r="C32" s="7" t="inlineStr">
        <is>
          <t>Anders Brynaa</t>
        </is>
      </c>
      <c r="D32" s="7" t="inlineStr">
        <is>
          <t>Talentchef</t>
        </is>
      </c>
      <c r="E32" s="7" t="inlineStr">
        <is>
          <t>EfB Akademi</t>
        </is>
      </c>
      <c r="F32" s="7" t="inlineStr">
        <is>
          <t>ukryty na stronie (ochrona antyspamowa) – skopiuj ze strony</t>
        </is>
      </c>
      <c r="G32" s="7" t="inlineStr"/>
      <c r="H32" s="8" t="inlineStr">
        <is>
          <t>https://efb.dk/efb-akademi/stab/</t>
        </is>
      </c>
      <c r="I32" s="9" t="n">
        <v>2</v>
      </c>
      <c r="J32" s="7" t="inlineStr">
        <is>
          <t>Częściowo – brak maila osoby</t>
        </is>
      </c>
      <c r="K32" s="7" t="inlineStr">
        <is>
          <t>1. Division</t>
        </is>
      </c>
    </row>
    <row r="33">
      <c r="A33" s="7" t="inlineStr">
        <is>
          <t>Dania</t>
        </is>
      </c>
      <c r="B33" s="7" t="inlineStr">
        <is>
          <t>HB Køge</t>
        </is>
      </c>
      <c r="C33" s="7" t="inlineStr">
        <is>
          <t>Steen Knudsen</t>
        </is>
      </c>
      <c r="D33" s="7" t="inlineStr">
        <is>
          <t>Talentchef</t>
        </is>
      </c>
      <c r="E33" s="7" t="inlineStr">
        <is>
          <t>Akademia</t>
        </is>
      </c>
      <c r="F33" s="7" t="inlineStr">
        <is>
          <t>sk@hbkoge.dk</t>
        </is>
      </c>
      <c r="G33" s="7" t="inlineStr">
        <is>
          <t>+45 40 42 45 59</t>
        </is>
      </c>
      <c r="H33" s="8" t="inlineStr">
        <is>
          <t>https://www.hbkoge.dk/talentudvikling/</t>
        </is>
      </c>
      <c r="I33" s="9" t="n">
        <v>2</v>
      </c>
      <c r="J33" s="7" t="inlineStr">
        <is>
          <t>Zweryfikowany</t>
        </is>
      </c>
      <c r="K33" s="7" t="inlineStr">
        <is>
          <t>1. Division. Klub stawia na wychowanków</t>
        </is>
      </c>
    </row>
    <row r="34">
      <c r="A34" s="7" t="inlineStr">
        <is>
          <t>Dania</t>
        </is>
      </c>
      <c r="B34" s="7" t="inlineStr">
        <is>
          <t>Hvidovre IF</t>
        </is>
      </c>
      <c r="C34" s="7" t="inlineStr">
        <is>
          <t>Christian Grønbæk</t>
        </is>
      </c>
      <c r="D34" s="7" t="inlineStr">
        <is>
          <t>Talentchef</t>
        </is>
      </c>
      <c r="E34" s="7" t="inlineStr">
        <is>
          <t>Talentakademi</t>
        </is>
      </c>
      <c r="F34" s="7" t="inlineStr">
        <is>
          <t>cg@hif.dk</t>
        </is>
      </c>
      <c r="G34" s="7" t="inlineStr">
        <is>
          <t>hif@hif.dk; 36 78 17 72</t>
        </is>
      </c>
      <c r="H34" s="8" t="inlineStr">
        <is>
          <t>https://bredde.hif.dk/talentakademi/</t>
        </is>
      </c>
      <c r="I34" s="9" t="n">
        <v>2</v>
      </c>
      <c r="J34" s="7" t="inlineStr">
        <is>
          <t>Zweryfikowany</t>
        </is>
      </c>
      <c r="K34" s="7" t="inlineStr">
        <is>
          <t>1. Division</t>
        </is>
      </c>
    </row>
    <row r="35">
      <c r="A35" s="7" t="inlineStr">
        <is>
          <t>Dania</t>
        </is>
      </c>
      <c r="B35" s="7" t="inlineStr">
        <is>
          <t>FC Nordsjælland</t>
        </is>
      </c>
      <c r="C35" s="7" t="inlineStr">
        <is>
          <t>Henrik Surel</t>
        </is>
      </c>
      <c r="D35" s="7" t="inlineStr">
        <is>
          <t>Emerging Talent Scout U14–U19, Girls</t>
        </is>
      </c>
      <c r="E35" s="7" t="inlineStr">
        <is>
          <t>Scouting dziewcząt U14–U19</t>
        </is>
      </c>
      <c r="F35" s="7" t="inlineStr">
        <is>
          <t>ukryty na stronie (ochrona antyspamowa) – skopiuj ze strony</t>
        </is>
      </c>
      <c r="G35" s="7" t="inlineStr"/>
      <c r="H35" s="8" t="inlineStr">
        <is>
          <t>https://fcn.dk/akademi/kontakt</t>
        </is>
      </c>
      <c r="I35" s="9" t="n">
        <v>3</v>
      </c>
      <c r="J35" s="7" t="inlineStr">
        <is>
          <t>Częściowo – brak maila osoby</t>
        </is>
      </c>
      <c r="K35" s="7" t="inlineStr">
        <is>
          <t>Superliga</t>
        </is>
      </c>
    </row>
    <row r="36">
      <c r="A36" s="7" t="inlineStr">
        <is>
          <t>Dania</t>
        </is>
      </c>
      <c r="B36" s="7" t="inlineStr">
        <is>
          <t>F.C. København</t>
        </is>
      </c>
      <c r="C36" s="7" t="inlineStr">
        <is>
          <t>Cornelius Scheel Hjeds</t>
        </is>
      </c>
      <c r="D36" s="7" t="inlineStr">
        <is>
          <t>Head Scout U6–U9</t>
        </is>
      </c>
      <c r="E36" s="7" t="inlineStr">
        <is>
          <t>Scouting U6–U9</t>
        </is>
      </c>
      <c r="F36" s="7" t="inlineStr">
        <is>
          <t>cohj@fck.dk</t>
        </is>
      </c>
      <c r="G36" s="7" t="inlineStr"/>
      <c r="H36" s="8" t="inlineStr">
        <is>
          <t>https://www.fck.dk/indhold/procedurer-rekruttering-i-talentafdelingen</t>
        </is>
      </c>
      <c r="I36" s="9" t="n">
        <v>3</v>
      </c>
      <c r="J36" s="7" t="inlineStr">
        <is>
          <t>Zweryfikowany</t>
        </is>
      </c>
      <c r="K36" s="7" t="inlineStr">
        <is>
          <t>Superliga</t>
        </is>
      </c>
    </row>
    <row r="37">
      <c r="A37" s="7" t="inlineStr">
        <is>
          <t>Dania</t>
        </is>
      </c>
      <c r="B37" s="7" t="inlineStr">
        <is>
          <t>F.C. København</t>
        </is>
      </c>
      <c r="C37" s="7" t="inlineStr">
        <is>
          <t>Casper Kåre Hansen</t>
        </is>
      </c>
      <c r="D37" s="7" t="inlineStr">
        <is>
          <t>Talent Head, Girls/Women</t>
        </is>
      </c>
      <c r="E37" s="7" t="inlineStr">
        <is>
          <t>Akademia kobiet</t>
        </is>
      </c>
      <c r="F37" s="7" t="inlineStr">
        <is>
          <t>cakh@fck.dk</t>
        </is>
      </c>
      <c r="G37" s="7" t="inlineStr"/>
      <c r="H37" s="8" t="inlineStr">
        <is>
          <t>https://www.fck.dk/indhold/procedurer-rekruttering-i-talentafdelingen</t>
        </is>
      </c>
      <c r="I37" s="9" t="n">
        <v>3</v>
      </c>
      <c r="J37" s="7" t="inlineStr">
        <is>
          <t>Zweryfikowany</t>
        </is>
      </c>
      <c r="K37" s="7" t="inlineStr">
        <is>
          <t>Superliga</t>
        </is>
      </c>
    </row>
    <row r="38">
      <c r="A38" s="7" t="inlineStr">
        <is>
          <t>Dania</t>
        </is>
      </c>
      <c r="B38" s="7" t="inlineStr">
        <is>
          <t>Akademisk Boldklub</t>
        </is>
      </c>
      <c r="C38" s="7" t="inlineStr">
        <is>
          <t>Simon Andresen</t>
        </is>
      </c>
      <c r="D38" s="7" t="inlineStr">
        <is>
          <t>Rekrutacja U17/U19</t>
        </is>
      </c>
      <c r="E38" s="7" t="inlineStr">
        <is>
          <t>Rekrutacja i testy U17–U19</t>
        </is>
      </c>
      <c r="F38" s="7" t="inlineStr">
        <is>
          <t>ukryty na stronie (ochrona antyspamowa) – skopiuj ze strony</t>
        </is>
      </c>
      <c r="G38" s="7" t="inlineStr">
        <is>
          <t>formularz „Spillerhenvendelse” na stronie</t>
        </is>
      </c>
      <c r="H38" s="8" t="inlineStr">
        <is>
          <t>https://www.akademiskboldklub.dk/klub/akademisk-boldklub--4/sider/spillerhenvendelser</t>
        </is>
      </c>
      <c r="I38" s="9" t="n">
        <v>3</v>
      </c>
      <c r="J38" s="7" t="inlineStr">
        <is>
          <t>Częściowo – brak maila osoby</t>
        </is>
      </c>
      <c r="K38" s="7" t="inlineStr">
        <is>
          <t>1. Division</t>
        </is>
      </c>
    </row>
    <row r="39">
      <c r="A39" s="7" t="inlineStr">
        <is>
          <t>Dania</t>
        </is>
      </c>
      <c r="B39" s="7" t="inlineStr">
        <is>
          <t>Kolding IF</t>
        </is>
      </c>
      <c r="C39" s="7" t="inlineStr">
        <is>
          <t>Jonas Illum</t>
        </is>
      </c>
      <c r="D39" s="7" t="inlineStr">
        <is>
          <t>Talentchef (akademia chłopców i dziewcząt)</t>
        </is>
      </c>
      <c r="E39" s="7" t="inlineStr">
        <is>
          <t>Akademia</t>
        </is>
      </c>
      <c r="F39" s="7" t="inlineStr"/>
      <c r="G39" s="7" t="inlineStr"/>
      <c r="H39" s="8" t="inlineStr">
        <is>
          <t>https://kolding-if.dk/sport/akademiet/kontakt-akademi/</t>
        </is>
      </c>
      <c r="I39" s="9" t="n">
        <v>3</v>
      </c>
      <c r="J39" s="7" t="inlineStr">
        <is>
          <t>Częściowo – brak maila osoby</t>
        </is>
      </c>
      <c r="K39" s="7" t="inlineStr">
        <is>
          <t>1. Division. Starszy kontakt jj@kolding-if.dk (Jacob Jensen, 2024) – nieaktualny</t>
        </is>
      </c>
    </row>
    <row r="40">
      <c r="A40" s="7" t="inlineStr">
        <is>
          <t>Dania</t>
        </is>
      </c>
      <c r="B40" s="7" t="inlineStr">
        <is>
          <t>Hillerød Fodbold</t>
        </is>
      </c>
      <c r="C40" s="7" t="inlineStr">
        <is>
          <t>Peter Sørensen</t>
        </is>
      </c>
      <c r="D40" s="7" t="inlineStr">
        <is>
          <t>Talentchef</t>
        </is>
      </c>
      <c r="E40" s="7" t="inlineStr">
        <is>
          <t>Akademia</t>
        </is>
      </c>
      <c r="F40" s="7" t="inlineStr"/>
      <c r="G40" s="7" t="inlineStr">
        <is>
          <t>info@hilleroedfodbold.dk</t>
        </is>
      </c>
      <c r="H40" s="8" t="inlineStr">
        <is>
          <t>https://www.hilleroedfodbold.dk/klubnyt/hilleroed-fodbold-ansaetter-peter-soerensen-som-ny-talentchef/</t>
        </is>
      </c>
      <c r="I40" s="9" t="n">
        <v>3</v>
      </c>
      <c r="J40" s="7" t="inlineStr">
        <is>
          <t>Częściowo – brak maila osoby</t>
        </is>
      </c>
      <c r="K40" s="7" t="inlineStr">
        <is>
          <t>1. Division. Od 01.01.2026</t>
        </is>
      </c>
    </row>
    <row r="41">
      <c r="A41" s="7" t="inlineStr">
        <is>
          <t>Dania</t>
        </is>
      </c>
      <c r="B41" s="7" t="inlineStr">
        <is>
          <t>Hobro IK</t>
        </is>
      </c>
      <c r="C41" s="7" t="inlineStr">
        <is>
          <t>Peter Bøcher Christiansen</t>
        </is>
      </c>
      <c r="D41" s="7" t="inlineStr">
        <is>
          <t>Rekrutteringsansvarlig</t>
        </is>
      </c>
      <c r="E41" s="7" t="inlineStr">
        <is>
          <t>Rekrutacja do talentu</t>
        </is>
      </c>
      <c r="F41" s="7" t="inlineStr">
        <is>
          <t>pbc@hikfodbold.dk</t>
        </is>
      </c>
      <c r="G41" s="7" t="inlineStr"/>
      <c r="H41" s="8" t="inlineStr">
        <is>
          <t>https://hobroik.dk/forening/ungdom/talent/rekruttering-til-talent/</t>
        </is>
      </c>
      <c r="I41" s="9" t="n">
        <v>3</v>
      </c>
      <c r="J41" s="7" t="inlineStr">
        <is>
          <t>Zweryfikowany</t>
        </is>
      </c>
      <c r="K41" s="7" t="inlineStr">
        <is>
          <t>1. Division. Od 01.07.2026. Talentchef: Martin Ingvorsen; testy U13–U19: NH@hikfodbold.dk</t>
        </is>
      </c>
    </row>
    <row r="42">
      <c r="A42" s="7" t="inlineStr">
        <is>
          <t>Dania</t>
        </is>
      </c>
      <c r="B42" s="7" t="inlineStr">
        <is>
          <t>Vendsyssel FF</t>
        </is>
      </c>
      <c r="C42" s="7" t="inlineStr">
        <is>
          <t>Riccardo Averini</t>
        </is>
      </c>
      <c r="D42" s="7" t="inlineStr">
        <is>
          <t>Head of Coaching &amp; Talentchef</t>
        </is>
      </c>
      <c r="E42" s="7" t="inlineStr">
        <is>
          <t>Dział talentów, U17–U19</t>
        </is>
      </c>
      <c r="F42" s="7" t="inlineStr">
        <is>
          <t>ukryty na stronie (ochrona antyspamowa) – skopiuj ze strony</t>
        </is>
      </c>
      <c r="G42" s="7" t="inlineStr">
        <is>
          <t>tel. 30 49 66 71</t>
        </is>
      </c>
      <c r="H42" s="8" t="inlineStr">
        <is>
          <t>https://vendsysselff.dk/talent/stab/</t>
        </is>
      </c>
      <c r="I42" s="9" t="n">
        <v>3</v>
      </c>
      <c r="J42" s="7" t="inlineStr">
        <is>
          <t>Częściowo – brak maila osoby</t>
        </is>
      </c>
      <c r="K42" s="7" t="inlineStr">
        <is>
          <t>1. Division</t>
        </is>
      </c>
    </row>
    <row r="43">
      <c r="A43" s="7" t="inlineStr">
        <is>
          <t>Dania</t>
        </is>
      </c>
      <c r="B43" s="7" t="inlineStr">
        <is>
          <t>FC Fredericia</t>
        </is>
      </c>
      <c r="C43" s="7" t="inlineStr">
        <is>
          <t>—</t>
        </is>
      </c>
      <c r="D43" s="7" t="inlineStr">
        <is>
          <t>FC Fredericia Akademi – stab</t>
        </is>
      </c>
      <c r="E43" s="7" t="inlineStr">
        <is>
          <t>Akademia</t>
        </is>
      </c>
      <c r="F43" s="7" t="inlineStr"/>
      <c r="G43" s="8" t="inlineStr">
        <is>
          <t>https://www.fcfredericia.org/Staben/</t>
        </is>
      </c>
      <c r="H43" s="8" t="inlineStr">
        <is>
          <t>https://www.fcfredericia.org/Rekruttering/</t>
        </is>
      </c>
      <c r="I43" s="9" t="n">
        <v>3</v>
      </c>
      <c r="J43" s="7" t="inlineStr">
        <is>
          <t>Częściowo – brak maila osoby</t>
        </is>
      </c>
      <c r="K43" s="7" t="inlineStr">
        <is>
          <t>1. Division. Na stronie lista maili sztabu bez przypisanych ról – sprawdzić</t>
        </is>
      </c>
    </row>
    <row r="44">
      <c r="A44" s="7" t="inlineStr">
        <is>
          <t>Dania</t>
        </is>
      </c>
      <c r="B44" s="7" t="inlineStr">
        <is>
          <t>Aarhus Fremad</t>
        </is>
      </c>
      <c r="C44" s="7" t="inlineStr">
        <is>
          <t>—</t>
        </is>
      </c>
      <c r="D44" s="7" t="inlineStr">
        <is>
          <t>—</t>
        </is>
      </c>
      <c r="E44" s="7" t="inlineStr">
        <is>
          <t>Formularz kontaktowy</t>
        </is>
      </c>
      <c r="F44" s="7" t="inlineStr"/>
      <c r="G44" s="8" t="inlineStr">
        <is>
          <t>https://www.aarhus-fremad.dk/kontakt/</t>
        </is>
      </c>
      <c r="H44" s="8" t="inlineStr">
        <is>
          <t>https://www.aarhus-fremad.dk/kontakt/</t>
        </is>
      </c>
      <c r="I44" s="9" t="n">
        <v>3</v>
      </c>
      <c r="J44" s="7" t="inlineStr">
        <is>
          <t>Częściowo – brak maila osoby</t>
        </is>
      </c>
      <c r="K44" s="7" t="inlineStr">
        <is>
          <t>1. Division. Brak publicznego kontaktu do akademii</t>
        </is>
      </c>
    </row>
    <row r="45">
      <c r="A45" s="7" t="inlineStr">
        <is>
          <t>Włochy</t>
        </is>
      </c>
      <c r="B45" s="7" t="inlineStr">
        <is>
          <t>Parma Calcio 1913</t>
        </is>
      </c>
      <c r="C45" s="7" t="inlineStr">
        <is>
          <t>Massimiliano Notari</t>
        </is>
      </c>
      <c r="D45" s="7" t="inlineStr">
        <is>
          <t>Head of Scouting</t>
        </is>
      </c>
      <c r="E45" s="7" t="inlineStr">
        <is>
          <t>Scouting regionalny, krajowy, międzynarodowy</t>
        </is>
      </c>
      <c r="F45" s="7" t="inlineStr"/>
      <c r="G45" s="7" t="inlineStr"/>
      <c r="H45" s="8" t="inlineStr">
        <is>
          <t>https://www.parmacalcio1913.com/en/main-news/club-statement-new-football-department-structure-confirmed/</t>
        </is>
      </c>
      <c r="I45" s="9" t="n">
        <v>1</v>
      </c>
      <c r="J45" s="7" t="inlineStr">
        <is>
          <t>Częściowo – brak maila osoby</t>
        </is>
      </c>
      <c r="K45" s="7" t="inlineStr">
        <is>
          <t>Potwierdzony na 2026/27, kontrakt do 30.06.2029</t>
        </is>
      </c>
    </row>
    <row r="46">
      <c r="A46" s="7" t="inlineStr">
        <is>
          <t>Włochy</t>
        </is>
      </c>
      <c r="B46" s="7" t="inlineStr">
        <is>
          <t>Parma Calcio 1913</t>
        </is>
      </c>
      <c r="C46" s="7" t="inlineStr">
        <is>
          <t>Mattia Notari</t>
        </is>
      </c>
      <c r="D46" s="7" t="inlineStr">
        <is>
          <t>Head of Men Youth Sector</t>
        </is>
      </c>
      <c r="E46" s="7" t="inlineStr">
        <is>
          <t>Sektor młodzieżowy (mężczyźni)</t>
        </is>
      </c>
      <c r="F46" s="7" t="inlineStr"/>
      <c r="G46" s="7" t="inlineStr"/>
      <c r="H46" s="8" t="inlineStr">
        <is>
          <t>https://www.parmacalcio1913.com/en/main-news/club-statement-new-football-department-structure-confirmed/</t>
        </is>
      </c>
      <c r="I46" s="9" t="n">
        <v>1</v>
      </c>
      <c r="J46" s="7" t="inlineStr">
        <is>
          <t>Częściowo – brak maila osoby</t>
        </is>
      </c>
      <c r="K46" s="7" t="inlineStr">
        <is>
          <t>Kontrakt do 30.06.2029</t>
        </is>
      </c>
    </row>
    <row r="47">
      <c r="A47" s="7" t="inlineStr">
        <is>
          <t>Włochy</t>
        </is>
      </c>
      <c r="B47" s="7" t="inlineStr">
        <is>
          <t>Parma Calcio 1913</t>
        </is>
      </c>
      <c r="C47" s="7" t="inlineStr">
        <is>
          <t>Federico Crovari</t>
        </is>
      </c>
      <c r="D47" s="7" t="inlineStr">
        <is>
          <t>Football Pathway Manager</t>
        </is>
      </c>
      <c r="E47" s="7" t="inlineStr">
        <is>
          <t>Ścieżka akademia → pierwszy zespół</t>
        </is>
      </c>
      <c r="F47" s="7" t="inlineStr"/>
      <c r="G47" s="7" t="inlineStr"/>
      <c r="H47" s="8" t="inlineStr">
        <is>
          <t>https://www.parmacalcio1913.com/en/main-news/club-statement-new-football-department-structure-confirmed/</t>
        </is>
      </c>
      <c r="I47" s="9" t="n">
        <v>1</v>
      </c>
      <c r="J47" s="7" t="inlineStr">
        <is>
          <t>Częściowo – brak maila osoby</t>
        </is>
      </c>
      <c r="K47" s="7" t="inlineStr">
        <is>
          <t>Nowa rola od 2026/27</t>
        </is>
      </c>
    </row>
    <row r="48">
      <c r="A48" s="7" t="inlineStr">
        <is>
          <t>Włochy</t>
        </is>
      </c>
      <c r="B48" s="7" t="inlineStr">
        <is>
          <t>Udinese Calcio</t>
        </is>
      </c>
      <c r="C48" s="7" t="inlineStr">
        <is>
          <t>Alec Bolla</t>
        </is>
      </c>
      <c r="D48" s="7" t="inlineStr">
        <is>
          <t>Responsabile Udinese Academy</t>
        </is>
      </c>
      <c r="E48" s="7" t="inlineStr">
        <is>
          <t>Sieć klubów afiliowanych (60+), identyfikacja talentów</t>
        </is>
      </c>
      <c r="F48" s="7" t="inlineStr"/>
      <c r="G48" s="7" t="inlineStr">
        <is>
          <t>academy@udinesespa.it; +39 0432 544911</t>
        </is>
      </c>
      <c r="H48" s="8" t="inlineStr">
        <is>
          <t>https://www.udinese.it/academy/contacts</t>
        </is>
      </c>
      <c r="I48" s="9" t="n">
        <v>1</v>
      </c>
      <c r="J48" s="7" t="inlineStr">
        <is>
          <t>Zweryfikowany</t>
        </is>
      </c>
      <c r="K48" s="7" t="inlineStr">
        <is>
          <t>Kontakt przez adres academy@</t>
        </is>
      </c>
    </row>
    <row r="49">
      <c r="A49" s="7" t="inlineStr">
        <is>
          <t>Włochy</t>
        </is>
      </c>
      <c r="B49" s="7" t="inlineStr">
        <is>
          <t>Atalanta</t>
        </is>
      </c>
      <c r="C49" s="7" t="inlineStr">
        <is>
          <t>Roberto Samaden</t>
        </is>
      </c>
      <c r="D49" s="7" t="inlineStr">
        <is>
          <t>Responsabile Settore Giovanile (2026/27)</t>
        </is>
      </c>
      <c r="E49" s="7" t="inlineStr">
        <is>
          <t>Sektor młodzieżowy</t>
        </is>
      </c>
      <c r="F49" s="7" t="inlineStr"/>
      <c r="G49" s="7" t="inlineStr">
        <is>
          <t>settoregiovanile@atalanta.it</t>
        </is>
      </c>
      <c r="H49" s="8" t="inlineStr">
        <is>
          <t>https://www.zonacalciofaidate.it/news-dai-campi-e-sedi-settori-giovanili/settore-giovanile-atalanta-2026-2027-tutti-gli-allenatori-e-la-nuova-squadra-di-roberto-samaden</t>
        </is>
      </c>
      <c r="I49" s="9" t="n">
        <v>1</v>
      </c>
      <c r="J49" s="7" t="inlineStr">
        <is>
          <t>Częściowo – brak maila osoby</t>
        </is>
      </c>
      <c r="K49" s="7" t="inlineStr">
        <is>
          <t>CIES MR99: 94 wychowanków w Big-5 w 20 lat, top 10 wg minut. Wcześniejszy szef scoutingu młodzieży: Gian Paolo Manighetti (2024/25)</t>
        </is>
      </c>
    </row>
    <row r="50">
      <c r="A50" s="7" t="inlineStr">
        <is>
          <t>Włochy</t>
        </is>
      </c>
      <c r="B50" s="7" t="inlineStr">
        <is>
          <t>Empoli FC</t>
        </is>
      </c>
      <c r="C50" s="7" t="inlineStr">
        <is>
          <t>Marco Bertelli</t>
        </is>
      </c>
      <c r="D50" s="7" t="inlineStr">
        <is>
          <t>Responsabile Settore Giovanile</t>
        </is>
      </c>
      <c r="E50" s="7" t="inlineStr">
        <is>
          <t>Sektor młodzieżowy</t>
        </is>
      </c>
      <c r="F50" s="7" t="inlineStr"/>
      <c r="G50" s="7" t="inlineStr">
        <is>
          <t>social@empolifc.com</t>
        </is>
      </c>
      <c r="H50" s="8" t="inlineStr">
        <is>
          <t>https://www.empolifc.it/organigramma</t>
        </is>
      </c>
      <c r="I50" s="9" t="n">
        <v>2</v>
      </c>
      <c r="J50" s="7" t="inlineStr">
        <is>
          <t>Do potwierdzenia</t>
        </is>
      </c>
      <c r="K50" s="7" t="inlineStr">
        <is>
          <t>Scouting attività di base: Paolo Mussi</t>
        </is>
      </c>
    </row>
    <row r="51">
      <c r="A51" s="7" t="inlineStr">
        <is>
          <t>Włochy</t>
        </is>
      </c>
      <c r="B51" s="7" t="inlineStr">
        <is>
          <t>Parma Calcio 1913</t>
        </is>
      </c>
      <c r="C51" s="7" t="inlineStr">
        <is>
          <t>Gianluca Baschieri</t>
        </is>
      </c>
      <c r="D51" s="7" t="inlineStr">
        <is>
          <t>Head of Grassroot</t>
        </is>
      </c>
      <c r="E51" s="7" t="inlineStr">
        <is>
          <t>Grassroots</t>
        </is>
      </c>
      <c r="F51" s="7" t="inlineStr"/>
      <c r="G51" s="7" t="inlineStr"/>
      <c r="H51" s="8" t="inlineStr">
        <is>
          <t>https://www.parmacalcio1913.com/en/main-news/club-statement-new-football-department-structure-confirmed/</t>
        </is>
      </c>
      <c r="I51" s="9" t="n">
        <v>3</v>
      </c>
      <c r="J51" s="7" t="inlineStr">
        <is>
          <t>Częściowo – brak maila osoby</t>
        </is>
      </c>
      <c r="K51" s="7" t="inlineStr"/>
    </row>
    <row r="52">
      <c r="A52" s="7" t="inlineStr">
        <is>
          <t>Francja</t>
        </is>
      </c>
      <c r="B52" s="7" t="inlineStr">
        <is>
          <t>Stade Rennais (CIES)</t>
        </is>
      </c>
      <c r="C52" s="7" t="inlineStr">
        <is>
          <t>Denis Arnaud</t>
        </is>
      </c>
      <c r="D52" s="7" t="inlineStr">
        <is>
          <t>Directeur de l'académie</t>
        </is>
      </c>
      <c r="E52" s="7" t="inlineStr">
        <is>
          <t>Centre de formation</t>
        </is>
      </c>
      <c r="F52" s="7" t="inlineStr"/>
      <c r="G52" s="7" t="inlineStr"/>
      <c r="H52" s="8" t="inlineStr">
        <is>
          <t>https://fr.wikipedia.org/wiki/Centre_de_formation_du_Stade_rennais_FC</t>
        </is>
      </c>
      <c r="I52" s="9" t="n">
        <v>1</v>
      </c>
      <c r="J52" s="7" t="inlineStr">
        <is>
          <t>Do potwierdzenia</t>
        </is>
      </c>
      <c r="K52" s="7" t="inlineStr">
        <is>
          <t>CIES 2026: 4. miejsce w Europie – 29 wychowanków w lidze Big-5. Nazwisko dyrektora do potwierdzenia</t>
        </is>
      </c>
    </row>
    <row r="53">
      <c r="A53" s="7" t="inlineStr">
        <is>
          <t>Francja</t>
        </is>
      </c>
      <c r="B53" s="7" t="inlineStr">
        <is>
          <t>AS Monaco (CIES)</t>
        </is>
      </c>
      <c r="C53" s="7" t="inlineStr">
        <is>
          <t>—</t>
        </is>
      </c>
      <c r="D53" s="7" t="inlineStr">
        <is>
          <t>Cellule recrutement Academy (La Diagonale)</t>
        </is>
      </c>
      <c r="E53" s="7" t="inlineStr">
        <is>
          <t>Rekrutacja do centrum szkoleniowego</t>
        </is>
      </c>
      <c r="F53" s="7" t="inlineStr"/>
      <c r="G53" s="8" t="inlineStr">
        <is>
          <t>https://www.asmonaco.com/encadrement/</t>
        </is>
      </c>
      <c r="H53" s="8" t="inlineStr">
        <is>
          <t>https://www.asmonaco.com/en/academy/la-diagonale-centre-de-formation-de-las-monaco</t>
        </is>
      </c>
      <c r="I53" s="9" t="n">
        <v>1</v>
      </c>
      <c r="J53" s="7" t="inlineStr">
        <is>
          <t>Częściowo – brak maila osoby</t>
        </is>
      </c>
      <c r="K53" s="7" t="inlineStr">
        <is>
          <t>CIES: top 10 najbardziej dochodowych akademii (10 lat). Nie przyjmują zgłoszeń spontanicznych</t>
        </is>
      </c>
    </row>
    <row r="54">
      <c r="A54" s="7" t="inlineStr">
        <is>
          <t>Francja</t>
        </is>
      </c>
      <c r="B54" s="7" t="inlineStr">
        <is>
          <t>RC Lens</t>
        </is>
      </c>
      <c r="C54" s="7" t="inlineStr">
        <is>
          <t>Alaeddine Yahia</t>
        </is>
      </c>
      <c r="D54" s="7" t="inlineStr">
        <is>
          <t>Responsable du recrutement de l'académie</t>
        </is>
      </c>
      <c r="E54" s="7" t="inlineStr">
        <is>
          <t>Rekrutacja akademii</t>
        </is>
      </c>
      <c r="F54" s="7" t="inlineStr"/>
      <c r="G54" s="7" t="inlineStr"/>
      <c r="H54" s="8" t="inlineStr">
        <is>
          <t>https://www.rclens.fr/fr/pros-cellule-de-recrutement</t>
        </is>
      </c>
      <c r="I54" s="9" t="n">
        <v>1</v>
      </c>
      <c r="J54" s="7" t="inlineStr">
        <is>
          <t>Częściowo – brak maila osoby</t>
        </is>
      </c>
      <c r="K54" s="7" t="inlineStr">
        <is>
          <t>recrutement@rclens.fr to adres HR (oferty pracy) – nie do zgłoszeń zawodników</t>
        </is>
      </c>
    </row>
    <row r="55">
      <c r="A55" s="7" t="inlineStr">
        <is>
          <t>Francja</t>
        </is>
      </c>
      <c r="B55" s="7" t="inlineStr">
        <is>
          <t>Olympique Lyonnais</t>
        </is>
      </c>
      <c r="C55" s="7" t="inlineStr">
        <is>
          <t>Johann Louvel</t>
        </is>
      </c>
      <c r="D55" s="7" t="inlineStr">
        <is>
          <t>Directeur de l'Academy</t>
        </is>
      </c>
      <c r="E55" s="7" t="inlineStr">
        <is>
          <t>Akademia</t>
        </is>
      </c>
      <c r="F55" s="7" t="inlineStr"/>
      <c r="G55" s="7" t="inlineStr"/>
      <c r="H55" s="8" t="inlineStr">
        <is>
          <t>https://www.ol.fr/fr/academy/centre-de-formation/recrutement</t>
        </is>
      </c>
      <c r="I55" s="9" t="n">
        <v>1</v>
      </c>
      <c r="J55" s="7" t="inlineStr">
        <is>
          <t>Do potwierdzenia</t>
        </is>
      </c>
      <c r="K55" s="7" t="inlineStr">
        <is>
          <t>CIES: top 10 dochodów ze sprzedaży wychowanków; 34 wychowanków w Big-5. Zastępca ds. technicznych/rekrutacji: Mathieu Seckinger</t>
        </is>
      </c>
    </row>
    <row r="56">
      <c r="A56" s="7" t="inlineStr">
        <is>
          <t>Francja</t>
        </is>
      </c>
      <c r="B56" s="7" t="inlineStr">
        <is>
          <t>Stade Rennais</t>
        </is>
      </c>
      <c r="C56" s="7" t="inlineStr">
        <is>
          <t>Philippe Barraud</t>
        </is>
      </c>
      <c r="D56" s="7" t="inlineStr">
        <is>
          <t>Chargé de coordination du recrutement</t>
        </is>
      </c>
      <c r="E56" s="7" t="inlineStr">
        <is>
          <t>Rekrutacja centrum szkoleniowego</t>
        </is>
      </c>
      <c r="F56" s="7" t="inlineStr"/>
      <c r="G56" s="7" t="inlineStr"/>
      <c r="H56" s="8" t="inlineStr">
        <is>
          <t>https://fr.wikipedia.org/wiki/Centre_de_formation_du_Stade_rennais_FC</t>
        </is>
      </c>
      <c r="I56" s="9" t="n">
        <v>2</v>
      </c>
      <c r="J56" s="7" t="inlineStr">
        <is>
          <t>Do potwierdzenia</t>
        </is>
      </c>
      <c r="K56" s="7" t="inlineStr">
        <is>
          <t>Źródło nieoficjalne – potwierdzić na staderennais.com</t>
        </is>
      </c>
    </row>
    <row r="57">
      <c r="A57" s="7" t="inlineStr">
        <is>
          <t>Francja</t>
        </is>
      </c>
      <c r="B57" s="7" t="inlineStr">
        <is>
          <t>LOSC Lille</t>
        </is>
      </c>
      <c r="C57" s="7" t="inlineStr">
        <is>
          <t>—</t>
        </is>
      </c>
      <c r="D57" s="7" t="inlineStr">
        <is>
          <t>—</t>
        </is>
      </c>
      <c r="E57" s="7" t="inlineStr">
        <is>
          <t>Formularz kontaktowy</t>
        </is>
      </c>
      <c r="F57" s="7" t="inlineStr"/>
      <c r="G57" s="8" t="inlineStr">
        <is>
          <t>https://www.losc.fr/contact</t>
        </is>
      </c>
      <c r="H57" s="8" t="inlineStr">
        <is>
          <t>https://www.losc.fr/formation</t>
        </is>
      </c>
      <c r="I57" s="9" t="n">
        <v>2</v>
      </c>
      <c r="J57" s="7" t="inlineStr">
        <is>
          <t>Częściowo – brak maila osoby</t>
        </is>
      </c>
      <c r="K57" s="7" t="inlineStr">
        <is>
          <t>Brak publicznego maila do rekrutacji młodzieży</t>
        </is>
      </c>
    </row>
    <row r="58">
      <c r="A58" s="7" t="inlineStr">
        <is>
          <t>Francja</t>
        </is>
      </c>
      <c r="B58" s="7" t="inlineStr">
        <is>
          <t>Paris Saint-Germain</t>
        </is>
      </c>
      <c r="C58" s="7" t="inlineStr">
        <is>
          <t>—</t>
        </is>
      </c>
      <c r="D58" s="7" t="inlineStr">
        <is>
          <t>Centre de formation – cellule recrutement</t>
        </is>
      </c>
      <c r="E58" s="7" t="inlineStr">
        <is>
          <t>Rekrutacja tylko przez obserwacje scoutów</t>
        </is>
      </c>
      <c r="F58" s="7" t="inlineStr"/>
      <c r="G58" s="8" t="inlineStr">
        <is>
          <t>https://www.psg.fr/en/youth-football</t>
        </is>
      </c>
      <c r="H58" s="8" t="inlineStr">
        <is>
          <t>https://www.psg.fr/en/youth-football</t>
        </is>
      </c>
      <c r="I58" s="9" t="n">
        <v>3</v>
      </c>
      <c r="J58" s="7" t="inlineStr">
        <is>
          <t>Częściowo – brak maila osoby</t>
        </is>
      </c>
      <c r="K58" s="7" t="inlineStr">
        <is>
          <t>CIES MR99: 3. miejsce – 111 wychowanków w Big-5 (20 lat). Klub nie przyjmuje zgłoszeń spontanicznych</t>
        </is>
      </c>
    </row>
    <row r="59">
      <c r="A59" s="7" t="inlineStr">
        <is>
          <t>Belgia</t>
        </is>
      </c>
      <c r="B59" s="7" t="inlineStr">
        <is>
          <t>Club Brugge</t>
        </is>
      </c>
      <c r="C59" s="7" t="inlineStr">
        <is>
          <t>—</t>
        </is>
      </c>
      <c r="D59" s="7" t="inlineStr">
        <is>
          <t>Club NXT – akademia</t>
        </is>
      </c>
      <c r="E59" s="7" t="inlineStr">
        <is>
          <t>Kontakt akademii</t>
        </is>
      </c>
      <c r="F59" s="7" t="inlineStr"/>
      <c r="G59" s="8" t="inlineStr">
        <is>
          <t>https://www.clubbrugge.be/en/nxt-contact</t>
        </is>
      </c>
      <c r="H59" s="8" t="inlineStr">
        <is>
          <t>https://www.clubbrugge.be/en/nxt-contact</t>
        </is>
      </c>
      <c r="I59" s="9" t="n">
        <v>1</v>
      </c>
      <c r="J59" s="7" t="inlineStr">
        <is>
          <t>Częściowo – brak maila osoby</t>
        </is>
      </c>
      <c r="K59" s="7" t="inlineStr">
        <is>
          <t>Pro League. Club NXT – najlepsza akademia w Belgii 2 lata z rzędu</t>
        </is>
      </c>
    </row>
    <row r="60">
      <c r="A60" s="7" t="inlineStr">
        <is>
          <t>Belgia</t>
        </is>
      </c>
      <c r="B60" s="7" t="inlineStr">
        <is>
          <t>RSC Anderlecht</t>
        </is>
      </c>
      <c r="C60" s="7" t="inlineStr">
        <is>
          <t>Afrim Salievski</t>
        </is>
      </c>
      <c r="D60" s="7" t="inlineStr">
        <is>
          <t>Academy Talent Director</t>
        </is>
      </c>
      <c r="E60" s="7" t="inlineStr">
        <is>
          <t>Rekrutacja i scouting wszystkich kategorii młodzieżowych</t>
        </is>
      </c>
      <c r="F60" s="7" t="inlineStr"/>
      <c r="G60" s="7" t="inlineStr">
        <is>
          <t>formularz na rsca.be (FAQ Neerpede)</t>
        </is>
      </c>
      <c r="H60" s="8" t="inlineStr">
        <is>
          <t>https://www.rsca.be/en/afrim-salievski</t>
        </is>
      </c>
      <c r="I60" s="9" t="n">
        <v>1</v>
      </c>
      <c r="J60" s="7" t="inlineStr">
        <is>
          <t>Częściowo – brak maila osoby</t>
        </is>
      </c>
      <c r="K60" s="7" t="inlineStr">
        <is>
          <t>Pro League. Chief Academy: Tim Borguet; Football Director U13–U23: Tim Scheers</t>
        </is>
      </c>
    </row>
    <row r="61">
      <c r="A61" s="7" t="inlineStr">
        <is>
          <t>Belgia</t>
        </is>
      </c>
      <c r="B61" s="7" t="inlineStr">
        <is>
          <t>KRC Genk</t>
        </is>
      </c>
      <c r="C61" s="7" t="inlineStr">
        <is>
          <t>Koen Daerden</t>
        </is>
      </c>
      <c r="D61" s="7" t="inlineStr">
        <is>
          <t>Technical Director Youth Academy</t>
        </is>
      </c>
      <c r="E61" s="7" t="inlineStr">
        <is>
          <t>Akademia</t>
        </is>
      </c>
      <c r="F61" s="7" t="inlineStr"/>
      <c r="G61" s="7" t="inlineStr">
        <is>
          <t>jeugdsecretariaat@krcgenk.be</t>
        </is>
      </c>
      <c r="H61" s="8" t="inlineStr">
        <is>
          <t>https://www.krcgenk.be/nl/contact/locatie/jeugdscouting</t>
        </is>
      </c>
      <c r="I61" s="9" t="n">
        <v>1</v>
      </c>
      <c r="J61" s="7" t="inlineStr">
        <is>
          <t>Częściowo – brak maila osoby</t>
        </is>
      </c>
      <c r="K61" s="7" t="inlineStr">
        <is>
          <t>Pro League. ~20 scoutów młodzieżowych; mail osoby tylko w bazach komercyjnych – nie podajemy</t>
        </is>
      </c>
    </row>
    <row r="62">
      <c r="A62" s="7" t="inlineStr">
        <is>
          <t>Belgia</t>
        </is>
      </c>
      <c r="B62" s="7" t="inlineStr">
        <is>
          <t>KAA Gent</t>
        </is>
      </c>
      <c r="C62" s="7" t="inlineStr">
        <is>
          <t>Jordi Maes</t>
        </is>
      </c>
      <c r="D62" s="7" t="inlineStr">
        <is>
          <t>Coördinator Scouting &amp; Rekrutering Jeugd</t>
        </is>
      </c>
      <c r="E62" s="7" t="inlineStr">
        <is>
          <t>Scouting/rekrutacja akademii</t>
        </is>
      </c>
      <c r="F62" s="7" t="inlineStr"/>
      <c r="G62" s="7" t="inlineStr">
        <is>
          <t>formularz: kaagent.typeform.com/interessejeugd</t>
        </is>
      </c>
      <c r="H62" s="8" t="inlineStr">
        <is>
          <t>https://www.kaagent.be/nl/jeugd/jeugdscouting</t>
        </is>
      </c>
      <c r="I62" s="9" t="n">
        <v>1</v>
      </c>
      <c r="J62" s="7" t="inlineStr">
        <is>
          <t>Częściowo – brak maila osoby</t>
        </is>
      </c>
      <c r="K62" s="7" t="inlineStr">
        <is>
          <t>Pro League. Brak otwartych testów – tylko zaproszenia</t>
        </is>
      </c>
    </row>
    <row r="63">
      <c r="A63" s="7" t="inlineStr">
        <is>
          <t>Belgia</t>
        </is>
      </c>
      <c r="B63" s="7" t="inlineStr">
        <is>
          <t>Union Saint-Gilloise</t>
        </is>
      </c>
      <c r="C63" s="7" t="inlineStr">
        <is>
          <t>—</t>
        </is>
      </c>
      <c r="D63" s="7" t="inlineStr">
        <is>
          <t>Union Academy – scouting</t>
        </is>
      </c>
      <c r="E63" s="7" t="inlineStr">
        <is>
          <t>Scouting akademii</t>
        </is>
      </c>
      <c r="F63" s="7" t="inlineStr"/>
      <c r="G63" s="7" t="inlineStr">
        <is>
          <t>scouting@rusgacademy.be; tel. 02 332 04 73</t>
        </is>
      </c>
      <c r="H63" s="8" t="inlineStr">
        <is>
          <t>https://rusg.brussels/en/union-academy/contact-union-academy</t>
        </is>
      </c>
      <c r="I63" s="9" t="n">
        <v>1</v>
      </c>
      <c r="J63" s="7" t="inlineStr">
        <is>
          <t>Zweryfikowany</t>
        </is>
      </c>
      <c r="K63" s="7" t="inlineStr">
        <is>
          <t>Pro League</t>
        </is>
      </c>
    </row>
    <row r="64">
      <c r="A64" s="7" t="inlineStr">
        <is>
          <t>Belgia</t>
        </is>
      </c>
      <c r="B64" s="7" t="inlineStr">
        <is>
          <t>Standard de Liège</t>
        </is>
      </c>
      <c r="C64" s="7" t="inlineStr">
        <is>
          <t>Christophe Lonnoy</t>
        </is>
      </c>
      <c r="D64" s="7" t="inlineStr">
        <is>
          <t>Directeur Recrutement ARLD</t>
        </is>
      </c>
      <c r="E64" s="7" t="inlineStr">
        <is>
          <t>Rekrutacja Académie Robert Louis-Dreyfus</t>
        </is>
      </c>
      <c r="F64" s="7" t="inlineStr"/>
      <c r="G64" s="7" t="inlineStr">
        <is>
          <t>i.vanherle@standard.be (Ingrid Vanherle, manager adm.); tel. +32 4 385 94 00</t>
        </is>
      </c>
      <c r="H64" s="8" t="inlineStr">
        <is>
          <t>https://standard.be/fr/news/academie-robert-louis-dreyfus</t>
        </is>
      </c>
      <c r="I64" s="9" t="n">
        <v>1</v>
      </c>
      <c r="J64" s="7" t="inlineStr">
        <is>
          <t>Częściowo – brak maila osoby</t>
        </is>
      </c>
      <c r="K64" s="7" t="inlineStr">
        <is>
          <t>Pro League</t>
        </is>
      </c>
    </row>
    <row r="65">
      <c r="A65" s="7" t="inlineStr">
        <is>
          <t>Belgia</t>
        </is>
      </c>
      <c r="B65" s="7" t="inlineStr">
        <is>
          <t>Royal Antwerp FC</t>
        </is>
      </c>
      <c r="C65" s="7" t="inlineStr">
        <is>
          <t>Ralph Rust</t>
        </is>
      </c>
      <c r="D65" s="7" t="inlineStr">
        <is>
          <t>Head of Scouting &amp; Recruitment U13–U18</t>
        </is>
      </c>
      <c r="E65" s="7" t="inlineStr">
        <is>
          <t>Scouting/rekrutacja U13–U18</t>
        </is>
      </c>
      <c r="F65" s="7" t="inlineStr">
        <is>
          <t>ralph.rust@rafc.be</t>
        </is>
      </c>
      <c r="G65" s="7" t="inlineStr">
        <is>
          <t>formularz: form.jotformeu.com/RoyalAntwerpFC/scouting-request-rafc</t>
        </is>
      </c>
      <c r="H65" s="8" t="inlineStr">
        <is>
          <t>https://jeugd.royalantwerpfc.be/contact/</t>
        </is>
      </c>
      <c r="I65" s="9" t="n">
        <v>1</v>
      </c>
      <c r="J65" s="7" t="inlineStr">
        <is>
          <t>Zweryfikowany</t>
        </is>
      </c>
      <c r="K65" s="7" t="inlineStr">
        <is>
          <t>Pro League</t>
        </is>
      </c>
    </row>
    <row r="66">
      <c r="A66" s="7" t="inlineStr">
        <is>
          <t>Belgia</t>
        </is>
      </c>
      <c r="B66" s="7" t="inlineStr">
        <is>
          <t>KV Mechelen</t>
        </is>
      </c>
      <c r="C66" s="7" t="inlineStr">
        <is>
          <t>—</t>
        </is>
      </c>
      <c r="D66" s="7" t="inlineStr">
        <is>
          <t>Scouting jeugdacademie</t>
        </is>
      </c>
      <c r="E66" s="7" t="inlineStr">
        <is>
          <t>Rekrutacja do akademii</t>
        </is>
      </c>
      <c r="F66" s="7" t="inlineStr"/>
      <c r="G66" s="7" t="inlineStr">
        <is>
          <t>scouting@kvmechelen.be; info@kvmechelenjeugd.be</t>
        </is>
      </c>
      <c r="H66" s="8" t="inlineStr">
        <is>
          <t>https://kvmechelen.be/academie/contact/</t>
        </is>
      </c>
      <c r="I66" s="9" t="n">
        <v>1</v>
      </c>
      <c r="J66" s="7" t="inlineStr">
        <is>
          <t>Zweryfikowany</t>
        </is>
      </c>
      <c r="K66" s="7" t="inlineStr">
        <is>
          <t>Pro League</t>
        </is>
      </c>
    </row>
    <row r="67">
      <c r="A67" s="7" t="inlineStr">
        <is>
          <t>Belgia</t>
        </is>
      </c>
      <c r="B67" s="7" t="inlineStr">
        <is>
          <t>Royal Antwerp FC</t>
        </is>
      </c>
      <c r="C67" s="7" t="inlineStr">
        <is>
          <t>Vincent Verbrugghe</t>
        </is>
      </c>
      <c r="D67" s="7" t="inlineStr">
        <is>
          <t>Head of Scouting &amp; Recruitment U10–U12</t>
        </is>
      </c>
      <c r="E67" s="7" t="inlineStr">
        <is>
          <t>Scouting/rekrutacja U10–U12</t>
        </is>
      </c>
      <c r="F67" s="7" t="inlineStr">
        <is>
          <t>vincent.verbrugghe@rafc.be</t>
        </is>
      </c>
      <c r="G67" s="7" t="inlineStr"/>
      <c r="H67" s="8" t="inlineStr">
        <is>
          <t>https://jeugd.royalantwerpfc.be/contact/</t>
        </is>
      </c>
      <c r="I67" s="9" t="n">
        <v>2</v>
      </c>
      <c r="J67" s="7" t="inlineStr">
        <is>
          <t>Zweryfikowany</t>
        </is>
      </c>
      <c r="K67" s="7" t="inlineStr">
        <is>
          <t>Pro League</t>
        </is>
      </c>
    </row>
    <row r="68">
      <c r="A68" s="7" t="inlineStr">
        <is>
          <t>Belgia</t>
        </is>
      </c>
      <c r="B68" s="7" t="inlineStr">
        <is>
          <t>OH Leuven</t>
        </is>
      </c>
      <c r="C68" s="7" t="inlineStr">
        <is>
          <t>—</t>
        </is>
      </c>
      <c r="D68" s="7" t="inlineStr">
        <is>
          <t>Academy</t>
        </is>
      </c>
      <c r="E68" s="7" t="inlineStr">
        <is>
          <t>Akademia / scouting</t>
        </is>
      </c>
      <c r="F68" s="7" t="inlineStr"/>
      <c r="G68" s="7" t="inlineStr">
        <is>
          <t>jeugd@ohl.be</t>
        </is>
      </c>
      <c r="H68" s="8" t="inlineStr">
        <is>
          <t>https://www.ohleuven.com/academy/scouting</t>
        </is>
      </c>
      <c r="I68" s="9" t="n">
        <v>2</v>
      </c>
      <c r="J68" s="7" t="inlineStr">
        <is>
          <t>Zweryfikowany</t>
        </is>
      </c>
      <c r="K68" s="7" t="inlineStr">
        <is>
          <t>Pro League</t>
        </is>
      </c>
    </row>
    <row r="69">
      <c r="A69" s="7" t="inlineStr">
        <is>
          <t>Belgia</t>
        </is>
      </c>
      <c r="B69" s="7" t="inlineStr">
        <is>
          <t>Cercle Brugge</t>
        </is>
      </c>
      <c r="C69" s="7" t="inlineStr">
        <is>
          <t>—</t>
        </is>
      </c>
      <c r="D69" s="7" t="inlineStr">
        <is>
          <t>Scouting manager jeugd</t>
        </is>
      </c>
      <c r="E69" s="7" t="inlineStr">
        <is>
          <t>Scouting U8–U18</t>
        </is>
      </c>
      <c r="F69" s="7" t="inlineStr"/>
      <c r="G69" s="7" t="inlineStr">
        <is>
          <t>scouting.jeugd@cerclebrugge.be</t>
        </is>
      </c>
      <c r="H69" s="8" t="inlineStr">
        <is>
          <t>https://cerclebrugge.be/en/teams/youth/jeugdacademie-scouting</t>
        </is>
      </c>
      <c r="I69" s="9" t="n">
        <v>2</v>
      </c>
      <c r="J69" s="7" t="inlineStr">
        <is>
          <t>Zweryfikowany</t>
        </is>
      </c>
      <c r="K69" s="7" t="inlineStr">
        <is>
          <t>Pro League</t>
        </is>
      </c>
    </row>
    <row r="70">
      <c r="A70" s="7" t="inlineStr">
        <is>
          <t>Belgia</t>
        </is>
      </c>
      <c r="B70" s="7" t="inlineStr">
        <is>
          <t>KV Kortrijk</t>
        </is>
      </c>
      <c r="C70" s="7" t="inlineStr">
        <is>
          <t>Niels Bulcaen</t>
        </is>
      </c>
      <c r="D70" s="7" t="inlineStr">
        <is>
          <t>KVK Scouting (jeugdacademie)</t>
        </is>
      </c>
      <c r="E70" s="7" t="inlineStr">
        <is>
          <t>Scouting akademii</t>
        </is>
      </c>
      <c r="F70" s="7" t="inlineStr">
        <is>
          <t>niels.bulcaen@kvk.be</t>
        </is>
      </c>
      <c r="G70" s="7" t="inlineStr">
        <is>
          <t>+32 56 96 01 90</t>
        </is>
      </c>
      <c r="H70" s="8" t="inlineStr">
        <is>
          <t>https://www.kvk.be/club/jeugdacademie/kvk-scouting/</t>
        </is>
      </c>
      <c r="I70" s="9" t="n">
        <v>2</v>
      </c>
      <c r="J70" s="7" t="inlineStr">
        <is>
          <t>Zweryfikowany</t>
        </is>
      </c>
      <c r="K70" s="7" t="inlineStr">
        <is>
          <t>Pro League (beniaminek)</t>
        </is>
      </c>
    </row>
    <row r="71">
      <c r="A71" s="7" t="inlineStr">
        <is>
          <t>Belgia</t>
        </is>
      </c>
      <c r="B71" s="7" t="inlineStr">
        <is>
          <t>Lommel SK</t>
        </is>
      </c>
      <c r="C71" s="7" t="inlineStr">
        <is>
          <t>Kevin Wielockx</t>
        </is>
      </c>
      <c r="D71" s="7" t="inlineStr">
        <is>
          <t>Head of Youth Scouting</t>
        </is>
      </c>
      <c r="E71" s="7" t="inlineStr">
        <is>
          <t>Scouting młodzieżowy</t>
        </is>
      </c>
      <c r="F71" s="7" t="inlineStr"/>
      <c r="G71" s="8" t="inlineStr">
        <is>
          <t>https://www.lommelsk.be/nl/talent-scouting.php</t>
        </is>
      </c>
      <c r="H71" s="8" t="inlineStr">
        <is>
          <t>https://www.lommelsk.be/nl/talent-scouting.php</t>
        </is>
      </c>
      <c r="I71" s="9" t="n">
        <v>2</v>
      </c>
      <c r="J71" s="7" t="inlineStr">
        <is>
          <t>Częściowo – brak maila osoby</t>
        </is>
      </c>
      <c r="K71" s="7" t="inlineStr">
        <is>
          <t>Pro League (beniaminek). Klub City Football Group</t>
        </is>
      </c>
    </row>
    <row r="72">
      <c r="A72" s="7" t="inlineStr">
        <is>
          <t>Belgia</t>
        </is>
      </c>
      <c r="B72" s="7" t="inlineStr">
        <is>
          <t>SK Beveren</t>
        </is>
      </c>
      <c r="C72" s="7" t="inlineStr">
        <is>
          <t>—</t>
        </is>
      </c>
      <c r="D72" s="7" t="inlineStr">
        <is>
          <t>Jeugdwerking</t>
        </is>
      </c>
      <c r="E72" s="7" t="inlineStr">
        <is>
          <t>Akademia (tylko e-mail)</t>
        </is>
      </c>
      <c r="F72" s="7" t="inlineStr"/>
      <c r="G72" s="7" t="inlineStr">
        <is>
          <t>jeugd@skbeveren.be</t>
        </is>
      </c>
      <c r="H72" s="8" t="inlineStr">
        <is>
          <t>https://www.skbeveren.be/contact/</t>
        </is>
      </c>
      <c r="I72" s="9" t="n">
        <v>2</v>
      </c>
      <c r="J72" s="7" t="inlineStr">
        <is>
          <t>Zweryfikowany</t>
        </is>
      </c>
      <c r="K72" s="7" t="inlineStr">
        <is>
          <t>Pro League (beniaminek, mistrz CPL)</t>
        </is>
      </c>
    </row>
    <row r="73">
      <c r="A73" s="7" t="inlineStr">
        <is>
          <t>Belgia</t>
        </is>
      </c>
      <c r="B73" s="7" t="inlineStr">
        <is>
          <t>Sporting Charleroi</t>
        </is>
      </c>
      <c r="C73" s="7" t="inlineStr">
        <is>
          <t>—</t>
        </is>
      </c>
      <c r="D73" s="7" t="inlineStr">
        <is>
          <t>Zebra Academy</t>
        </is>
      </c>
      <c r="E73" s="7" t="inlineStr">
        <is>
          <t>Akademia U15–U23</t>
        </is>
      </c>
      <c r="F73" s="7" t="inlineStr"/>
      <c r="G73" s="7" t="inlineStr">
        <is>
          <t>info@sporting-charleroi.be; 071 23 97 50</t>
        </is>
      </c>
      <c r="H73" s="8" t="inlineStr">
        <is>
          <t>https://www.sporting-charleroi.be/contact/</t>
        </is>
      </c>
      <c r="I73" s="9" t="n">
        <v>2</v>
      </c>
      <c r="J73" s="7" t="inlineStr">
        <is>
          <t>Częściowo – brak maila osoby</t>
        </is>
      </c>
      <c r="K73" s="7" t="inlineStr">
        <is>
          <t>Pro League. Brak publicznego maila akademii</t>
        </is>
      </c>
    </row>
    <row r="74">
      <c r="A74" s="7" t="inlineStr">
        <is>
          <t>Belgia</t>
        </is>
      </c>
      <c r="B74" s="7" t="inlineStr">
        <is>
          <t>Royal Antwerp FC</t>
        </is>
      </c>
      <c r="C74" s="7" t="inlineStr">
        <is>
          <t>Matthias De Ridder</t>
        </is>
      </c>
      <c r="D74" s="7" t="inlineStr">
        <is>
          <t>Head of Scouting &amp; Recruitment U7–U9</t>
        </is>
      </c>
      <c r="E74" s="7" t="inlineStr">
        <is>
          <t>Scouting U7–U9</t>
        </is>
      </c>
      <c r="F74" s="7" t="inlineStr">
        <is>
          <t>matthias.deridder@rafcjeugd.be</t>
        </is>
      </c>
      <c r="G74" s="7" t="inlineStr"/>
      <c r="H74" s="8" t="inlineStr">
        <is>
          <t>https://jeugd.royalantwerpfc.be/contact/</t>
        </is>
      </c>
      <c r="I74" s="9" t="n">
        <v>3</v>
      </c>
      <c r="J74" s="7" t="inlineStr">
        <is>
          <t>Zweryfikowany</t>
        </is>
      </c>
      <c r="K74" s="7" t="inlineStr">
        <is>
          <t>Pro League</t>
        </is>
      </c>
    </row>
    <row r="75">
      <c r="A75" s="7" t="inlineStr">
        <is>
          <t>Belgia</t>
        </is>
      </c>
      <c r="B75" s="7" t="inlineStr">
        <is>
          <t>KVC Westerlo</t>
        </is>
      </c>
      <c r="C75" s="7" t="inlineStr">
        <is>
          <t>—</t>
        </is>
      </c>
      <c r="D75" s="7" t="inlineStr">
        <is>
          <t>—</t>
        </is>
      </c>
      <c r="E75" s="7" t="inlineStr">
        <is>
          <t>Kontakt ogólny</t>
        </is>
      </c>
      <c r="F75" s="7" t="inlineStr"/>
      <c r="G75" s="7" t="inlineStr">
        <is>
          <t>info@kvcwesterlo.be; +32 14 54 52 88</t>
        </is>
      </c>
      <c r="H75" s="8" t="inlineStr">
        <is>
          <t>https://kvcwesterlo.be/nl/contact/</t>
        </is>
      </c>
      <c r="I75" s="9" t="n">
        <v>3</v>
      </c>
      <c r="J75" s="7" t="inlineStr">
        <is>
          <t>Częściowo – brak maila osoby</t>
        </is>
      </c>
      <c r="K75" s="7" t="inlineStr">
        <is>
          <t>Pro League. Brak publicznego maila scoutingu młodzieży</t>
        </is>
      </c>
    </row>
    <row r="76">
      <c r="A76" s="7" t="inlineStr">
        <is>
          <t>Belgia</t>
        </is>
      </c>
      <c r="B76" s="7" t="inlineStr">
        <is>
          <t>Sint-Truidense VV</t>
        </is>
      </c>
      <c r="C76" s="7" t="inlineStr">
        <is>
          <t>Luc Bormans</t>
        </is>
      </c>
      <c r="D76" s="7" t="inlineStr">
        <is>
          <t>Hoofd jeugdopleiding</t>
        </is>
      </c>
      <c r="E76" s="7" t="inlineStr">
        <is>
          <t>Akademia</t>
        </is>
      </c>
      <c r="F76" s="7" t="inlineStr"/>
      <c r="G76" s="7" t="inlineStr">
        <is>
          <t>info@stvv.com; 011 71 38 19</t>
        </is>
      </c>
      <c r="H76" s="8" t="inlineStr">
        <is>
          <t>https://stvv.com/en/contact</t>
        </is>
      </c>
      <c r="I76" s="9" t="n">
        <v>3</v>
      </c>
      <c r="J76" s="7" t="inlineStr">
        <is>
          <t>Do potwierdzenia</t>
        </is>
      </c>
      <c r="K76" s="7" t="inlineStr">
        <is>
          <t>Pro League. Dane osoby z nieoficjalnej strony – potwierdzić</t>
        </is>
      </c>
    </row>
    <row r="77">
      <c r="A77" s="7" t="inlineStr">
        <is>
          <t>Belgia</t>
        </is>
      </c>
      <c r="B77" s="7" t="inlineStr">
        <is>
          <t>SV Zulte Waregem</t>
        </is>
      </c>
      <c r="C77" s="7" t="inlineStr">
        <is>
          <t>—</t>
        </is>
      </c>
      <c r="D77" s="7" t="inlineStr">
        <is>
          <t>Essevee Academie</t>
        </is>
      </c>
      <c r="E77" s="7" t="inlineStr">
        <is>
          <t>Akademia</t>
        </is>
      </c>
      <c r="F77" s="7" t="inlineStr"/>
      <c r="G77" s="7" t="inlineStr">
        <is>
          <t>formularz: essevee.be/nl/team-essevee/contact</t>
        </is>
      </c>
      <c r="H77" s="8" t="inlineStr">
        <is>
          <t>https://www.essevee.be/nl/team-essevee/contact</t>
        </is>
      </c>
      <c r="I77" s="9" t="n">
        <v>3</v>
      </c>
      <c r="J77" s="7" t="inlineStr">
        <is>
          <t>Częściowo – brak maila osoby</t>
        </is>
      </c>
      <c r="K77" s="7" t="inlineStr">
        <is>
          <t>Pro League. Brak publicznego maila akademii</t>
        </is>
      </c>
    </row>
    <row r="78">
      <c r="A78" s="7" t="inlineStr">
        <is>
          <t>Belgia</t>
        </is>
      </c>
      <c r="B78" s="7" t="inlineStr">
        <is>
          <t>RAAL La Louvière</t>
        </is>
      </c>
      <c r="C78" s="7" t="inlineStr">
        <is>
          <t>—</t>
        </is>
      </c>
      <c r="D78" s="7" t="inlineStr">
        <is>
          <t>Wolves Academy</t>
        </is>
      </c>
      <c r="E78" s="7" t="inlineStr">
        <is>
          <t>Rekrutacja młodzieży</t>
        </is>
      </c>
      <c r="F78" s="7" t="inlineStr"/>
      <c r="G78" s="7" t="inlineStr">
        <is>
          <t>jeunes@raal.be; zgłoszenia: raal.be/recrutement-2/</t>
        </is>
      </c>
      <c r="H78" s="8" t="inlineStr">
        <is>
          <t>https://www.raal.be/ufaq/jaimerais-realiser-un-test-pour-integrer-lecole-des-jeunes-comment-faire/</t>
        </is>
      </c>
      <c r="I78" s="9" t="n">
        <v>3</v>
      </c>
      <c r="J78" s="7" t="inlineStr">
        <is>
          <t>Zweryfikowany</t>
        </is>
      </c>
      <c r="K78" s="7" t="inlineStr">
        <is>
          <t>Pro League</t>
        </is>
      </c>
    </row>
    <row r="79">
      <c r="A79" s="7" t="inlineStr">
        <is>
          <t>Austria</t>
        </is>
      </c>
      <c r="B79" s="7" t="inlineStr">
        <is>
          <t>FC Red Bull Salzburg</t>
        </is>
      </c>
      <c r="C79" s="7" t="inlineStr">
        <is>
          <t>Manfred Pamminger</t>
        </is>
      </c>
      <c r="D79" s="7" t="inlineStr">
        <is>
          <t>Gesamtleiter Nachwuchs (w tym scouting)</t>
        </is>
      </c>
      <c r="E79" s="7" t="inlineStr">
        <is>
          <t>Akademia, FC Liefering, scouting, współpraca międzynarodowa</t>
        </is>
      </c>
      <c r="F79" s="7" t="inlineStr"/>
      <c r="G79" s="7" t="inlineStr">
        <is>
          <t>akademie.verwaltung@redbullsalzburg.at; 0662 433332 4603</t>
        </is>
      </c>
      <c r="H79" s="8" t="inlineStr">
        <is>
          <t>https://www.redbullsalzburg.at/de/jungbullen-und-akademie</t>
        </is>
      </c>
      <c r="I79" s="9" t="n">
        <v>1</v>
      </c>
      <c r="J79" s="7" t="inlineStr">
        <is>
          <t>Częściowo – brak maila osoby</t>
        </is>
      </c>
      <c r="K79" s="7" t="inlineStr">
        <is>
          <t>Bundesliga. Sportlicher Leiter Akademie: Raphael Ikache</t>
        </is>
      </c>
    </row>
    <row r="80">
      <c r="A80" s="7" t="inlineStr">
        <is>
          <t>Austria</t>
        </is>
      </c>
      <c r="B80" s="7" t="inlineStr">
        <is>
          <t>SK Sturm Graz</t>
        </is>
      </c>
      <c r="C80" s="7" t="inlineStr">
        <is>
          <t>Hannes Thier</t>
        </is>
      </c>
      <c r="D80" s="7" t="inlineStr">
        <is>
          <t>Scout (Akademie)</t>
        </is>
      </c>
      <c r="E80" s="7" t="inlineStr">
        <is>
          <t>Profile zawodników na testy</t>
        </is>
      </c>
      <c r="F80" s="7" t="inlineStr">
        <is>
          <t>hannes.thier@sksturm.at</t>
        </is>
      </c>
      <c r="G80" s="7" t="inlineStr">
        <is>
          <t>office@akastmk-sturm.at</t>
        </is>
      </c>
      <c r="H80" s="8" t="inlineStr">
        <is>
          <t>http://www.akastmk-sturm.at/aufnahme.htm</t>
        </is>
      </c>
      <c r="I80" s="9" t="n">
        <v>1</v>
      </c>
      <c r="J80" s="7" t="inlineStr">
        <is>
          <t>Zweryfikowany</t>
        </is>
      </c>
      <c r="K80" s="7" t="inlineStr">
        <is>
          <t>Bundesliga</t>
        </is>
      </c>
    </row>
    <row r="81">
      <c r="A81" s="7" t="inlineStr">
        <is>
          <t>Austria</t>
        </is>
      </c>
      <c r="B81" s="7" t="inlineStr">
        <is>
          <t>SK Rapid Wien</t>
        </is>
      </c>
      <c r="C81" s="7" t="inlineStr">
        <is>
          <t>Nino Rauch</t>
        </is>
      </c>
      <c r="D81" s="7" t="inlineStr">
        <is>
          <t>Leiter Scouting</t>
        </is>
      </c>
      <c r="E81" s="7" t="inlineStr">
        <is>
          <t>Scouting</t>
        </is>
      </c>
      <c r="F81" s="7" t="inlineStr"/>
      <c r="G81" s="7" t="inlineStr">
        <is>
          <t>nachwuchs@skrapid.com; info@skrapid.com</t>
        </is>
      </c>
      <c r="H81" s="8" t="inlineStr">
        <is>
          <t>https://www.skrapid.at/verein/gremien/sport-management/</t>
        </is>
      </c>
      <c r="I81" s="9" t="n">
        <v>1</v>
      </c>
      <c r="J81" s="7" t="inlineStr">
        <is>
          <t>Częściowo – brak maila osoby</t>
        </is>
      </c>
      <c r="K81" s="7" t="inlineStr">
        <is>
          <t>Bundesliga</t>
        </is>
      </c>
    </row>
    <row r="82">
      <c r="A82" s="7" t="inlineStr">
        <is>
          <t>Austria</t>
        </is>
      </c>
      <c r="B82" s="7" t="inlineStr">
        <is>
          <t>FK Austria Wien</t>
        </is>
      </c>
      <c r="C82" s="7" t="inlineStr">
        <is>
          <t>Manuel Takacs</t>
        </is>
      </c>
      <c r="D82" s="7" t="inlineStr">
        <is>
          <t>Leiter Akademie</t>
        </is>
      </c>
      <c r="E82" s="7" t="inlineStr">
        <is>
          <t>Akademia</t>
        </is>
      </c>
      <c r="F82" s="7" t="inlineStr"/>
      <c r="G82" s="8" t="inlineStr">
        <is>
          <t>https://fk-austria.at/en/akademie-2/kontakt-2</t>
        </is>
      </c>
      <c r="H82" s="8" t="inlineStr">
        <is>
          <t>https://fk-austria.at/en/news/die-sportdirektion-von-austria-wien</t>
        </is>
      </c>
      <c r="I82" s="9" t="n">
        <v>1</v>
      </c>
      <c r="J82" s="7" t="inlineStr">
        <is>
          <t>Częściowo – brak maila osoby</t>
        </is>
      </c>
      <c r="K82" s="7" t="inlineStr">
        <is>
          <t>Bundesliga. Technical Director: Robert Urbanek</t>
        </is>
      </c>
    </row>
    <row r="83">
      <c r="A83" s="7" t="inlineStr">
        <is>
          <t>Austria</t>
        </is>
      </c>
      <c r="B83" s="7" t="inlineStr">
        <is>
          <t>LASK</t>
        </is>
      </c>
      <c r="C83" s="7" t="inlineStr">
        <is>
          <t>Philipp Leeb</t>
        </is>
      </c>
      <c r="D83" s="7" t="inlineStr">
        <is>
          <t>Nachwuchsleiter</t>
        </is>
      </c>
      <c r="E83" s="7" t="inlineStr">
        <is>
          <t>Przyjęcia do akademii</t>
        </is>
      </c>
      <c r="F83" s="7" t="inlineStr">
        <is>
          <t>p.leeb@lask.at</t>
        </is>
      </c>
      <c r="G83" s="7" t="inlineStr">
        <is>
          <t>scouting@lask.at; 0699 111 879 00</t>
        </is>
      </c>
      <c r="H83" s="8" t="inlineStr">
        <is>
          <t>https://www.lask.at/en/m/ansprechpersonen</t>
        </is>
      </c>
      <c r="I83" s="9" t="n">
        <v>1</v>
      </c>
      <c r="J83" s="7" t="inlineStr">
        <is>
          <t>Zweryfikowany</t>
        </is>
      </c>
      <c r="K83" s="7" t="inlineStr">
        <is>
          <t>Bundesliga</t>
        </is>
      </c>
    </row>
    <row r="84">
      <c r="A84" s="7" t="inlineStr">
        <is>
          <t>Austria</t>
        </is>
      </c>
      <c r="B84" s="7" t="inlineStr">
        <is>
          <t>SK Sturm Graz</t>
        </is>
      </c>
      <c r="C84" s="7" t="inlineStr">
        <is>
          <t>Emil Bauer</t>
        </is>
      </c>
      <c r="D84" s="7" t="inlineStr">
        <is>
          <t>Scouting</t>
        </is>
      </c>
      <c r="E84" s="7" t="inlineStr">
        <is>
          <t>Scouting</t>
        </is>
      </c>
      <c r="F84" s="7" t="inlineStr">
        <is>
          <t>emil.bauer@sksturm.at</t>
        </is>
      </c>
      <c r="G84" s="7" t="inlineStr"/>
      <c r="H84" s="8" t="inlineStr">
        <is>
          <t>https://sksturm.at/en/c/geschaeftsstelle</t>
        </is>
      </c>
      <c r="I84" s="9" t="n">
        <v>2</v>
      </c>
      <c r="J84" s="7" t="inlineStr">
        <is>
          <t>Zweryfikowany</t>
        </is>
      </c>
      <c r="K84" s="7" t="inlineStr">
        <is>
          <t>Bundesliga</t>
        </is>
      </c>
    </row>
    <row r="85">
      <c r="A85" s="7" t="inlineStr">
        <is>
          <t>Austria</t>
        </is>
      </c>
      <c r="B85" s="7" t="inlineStr">
        <is>
          <t>SK Sturm Graz</t>
        </is>
      </c>
      <c r="C85" s="7" t="inlineStr">
        <is>
          <t>Lukas Alterdinger</t>
        </is>
      </c>
      <c r="D85" s="7" t="inlineStr">
        <is>
          <t>Scouting</t>
        </is>
      </c>
      <c r="E85" s="7" t="inlineStr">
        <is>
          <t>Scouting</t>
        </is>
      </c>
      <c r="F85" s="7" t="inlineStr">
        <is>
          <t>lukas.alterdinger@sksturm.at</t>
        </is>
      </c>
      <c r="G85" s="7" t="inlineStr"/>
      <c r="H85" s="8" t="inlineStr">
        <is>
          <t>https://sksturm.at/en/c/geschaeftsstelle</t>
        </is>
      </c>
      <c r="I85" s="9" t="n">
        <v>2</v>
      </c>
      <c r="J85" s="7" t="inlineStr">
        <is>
          <t>Zweryfikowany</t>
        </is>
      </c>
      <c r="K85" s="7" t="inlineStr">
        <is>
          <t>Bundesliga</t>
        </is>
      </c>
    </row>
    <row r="86">
      <c r="A86" s="7" t="inlineStr">
        <is>
          <t>Austria</t>
        </is>
      </c>
      <c r="B86" s="7" t="inlineStr">
        <is>
          <t>SK Sturm Graz</t>
        </is>
      </c>
      <c r="C86" s="7" t="inlineStr">
        <is>
          <t>Christoph Leitgeb</t>
        </is>
      </c>
      <c r="D86" s="7" t="inlineStr">
        <is>
          <t>Scouting</t>
        </is>
      </c>
      <c r="E86" s="7" t="inlineStr">
        <is>
          <t>Scouting</t>
        </is>
      </c>
      <c r="F86" s="7" t="inlineStr">
        <is>
          <t>christoph.leitgeb@sksturm.at</t>
        </is>
      </c>
      <c r="G86" s="7" t="inlineStr"/>
      <c r="H86" s="8" t="inlineStr">
        <is>
          <t>https://sksturm.at/en/c/geschaeftsstelle</t>
        </is>
      </c>
      <c r="I86" s="9" t="n">
        <v>2</v>
      </c>
      <c r="J86" s="7" t="inlineStr">
        <is>
          <t>Zweryfikowany</t>
        </is>
      </c>
      <c r="K86" s="7" t="inlineStr">
        <is>
          <t>Bundesliga</t>
        </is>
      </c>
    </row>
    <row r="87">
      <c r="A87" s="7" t="inlineStr">
        <is>
          <t>Austria</t>
        </is>
      </c>
      <c r="B87" s="7" t="inlineStr">
        <is>
          <t>Grazer AK</t>
        </is>
      </c>
      <c r="C87" s="7" t="inlineStr">
        <is>
          <t>Christian Zach</t>
        </is>
      </c>
      <c r="D87" s="7" t="inlineStr">
        <is>
          <t>Sportlicher Leiter Akademie</t>
        </is>
      </c>
      <c r="E87" s="7" t="inlineStr">
        <is>
          <t>Akademia</t>
        </is>
      </c>
      <c r="F87" s="7" t="inlineStr">
        <is>
          <t>christian.zach@grazerak.at</t>
        </is>
      </c>
      <c r="G87" s="7" t="inlineStr">
        <is>
          <t>office@grazerak.at</t>
        </is>
      </c>
      <c r="H87" s="8" t="inlineStr">
        <is>
          <t>https://grazerak.at/verein/ansprechpartner-nachwuchs</t>
        </is>
      </c>
      <c r="I87" s="9" t="n">
        <v>2</v>
      </c>
      <c r="J87" s="7" t="inlineStr">
        <is>
          <t>Zweryfikowany</t>
        </is>
      </c>
      <c r="K87" s="7" t="inlineStr">
        <is>
          <t>Bundesliga. Jugend &amp; Schulkoop.: Philipp Albrecht – philipp.albrecht@grazerak.at</t>
        </is>
      </c>
    </row>
    <row r="88">
      <c r="A88" s="7" t="inlineStr">
        <is>
          <t>Austria</t>
        </is>
      </c>
      <c r="B88" s="7" t="inlineStr">
        <is>
          <t>Wolfsberger AC</t>
        </is>
      </c>
      <c r="C88" s="7" t="inlineStr">
        <is>
          <t>—</t>
        </is>
      </c>
      <c r="D88" s="7" t="inlineStr">
        <is>
          <t>—</t>
        </is>
      </c>
      <c r="E88" s="7" t="inlineStr">
        <is>
          <t>Kontakt ogólny</t>
        </is>
      </c>
      <c r="F88" s="7" t="inlineStr"/>
      <c r="G88" s="7" t="inlineStr">
        <is>
          <t>office@rzpelletswac.at; +43 4352 30688</t>
        </is>
      </c>
      <c r="H88" s="8" t="inlineStr">
        <is>
          <t>https://rzpelletswac.at/kontakt/</t>
        </is>
      </c>
      <c r="I88" s="9" t="n">
        <v>2</v>
      </c>
      <c r="J88" s="7" t="inlineStr">
        <is>
          <t>Częściowo – brak maila osoby</t>
        </is>
      </c>
      <c r="K88" s="7" t="inlineStr">
        <is>
          <t>Bundesliga. Brak publicznego maila akademii</t>
        </is>
      </c>
    </row>
    <row r="89">
      <c r="A89" s="7" t="inlineStr">
        <is>
          <t>Austria</t>
        </is>
      </c>
      <c r="B89" s="7" t="inlineStr">
        <is>
          <t>TSV Hartberg</t>
        </is>
      </c>
      <c r="C89" s="7" t="inlineStr">
        <is>
          <t>—</t>
        </is>
      </c>
      <c r="D89" s="7" t="inlineStr">
        <is>
          <t>Hartberg Fußball Akademie</t>
        </is>
      </c>
      <c r="E89" s="7" t="inlineStr">
        <is>
          <t>Akademia</t>
        </is>
      </c>
      <c r="F89" s="7" t="inlineStr"/>
      <c r="G89" s="7" t="inlineStr">
        <is>
          <t>akademie@tsv-hartberg-fussball.at</t>
        </is>
      </c>
      <c r="H89" s="8" t="inlineStr">
        <is>
          <t>https://tsv-hartberg-fussball.at/nachwuchs/kontakt-nachwuchs/</t>
        </is>
      </c>
      <c r="I89" s="9" t="n">
        <v>2</v>
      </c>
      <c r="J89" s="7" t="inlineStr">
        <is>
          <t>Zweryfikowany</t>
        </is>
      </c>
      <c r="K89" s="7" t="inlineStr">
        <is>
          <t>Bundesliga</t>
        </is>
      </c>
    </row>
    <row r="90">
      <c r="A90" s="7" t="inlineStr">
        <is>
          <t>Austria</t>
        </is>
      </c>
      <c r="B90" s="7" t="inlineStr">
        <is>
          <t>SV Ried</t>
        </is>
      </c>
      <c r="C90" s="7" t="inlineStr">
        <is>
          <t>—</t>
        </is>
      </c>
      <c r="D90" s="7" t="inlineStr">
        <is>
          <t>AKA-Geschäftsstelle</t>
        </is>
      </c>
      <c r="E90" s="7" t="inlineStr">
        <is>
          <t>Akademia Ried</t>
        </is>
      </c>
      <c r="F90" s="7" t="inlineStr"/>
      <c r="G90" s="7" t="inlineStr">
        <is>
          <t>office@akaried.at; +43 7752 88164</t>
        </is>
      </c>
      <c r="H90" s="8" t="inlineStr">
        <is>
          <t>https://www.svried.at/aka-geschaeftsstelle/</t>
        </is>
      </c>
      <c r="I90" s="9" t="n">
        <v>2</v>
      </c>
      <c r="J90" s="7" t="inlineStr">
        <is>
          <t>Zweryfikowany</t>
        </is>
      </c>
      <c r="K90" s="7" t="inlineStr">
        <is>
          <t>Bundesliga</t>
        </is>
      </c>
    </row>
    <row r="91">
      <c r="A91" s="7" t="inlineStr">
        <is>
          <t>Austria</t>
        </is>
      </c>
      <c r="B91" s="7" t="inlineStr">
        <is>
          <t>WSG Tirol</t>
        </is>
      </c>
      <c r="C91" s="7" t="inlineStr">
        <is>
          <t>—</t>
        </is>
      </c>
      <c r="D91" s="7" t="inlineStr">
        <is>
          <t>Nachwuchs</t>
        </is>
      </c>
      <c r="E91" s="7" t="inlineStr">
        <is>
          <t>Młodzież, testy</t>
        </is>
      </c>
      <c r="F91" s="7" t="inlineStr"/>
      <c r="G91" s="7" t="inlineStr">
        <is>
          <t>jugendfussball@wsg-fussball.at; 0699 108 619 35</t>
        </is>
      </c>
      <c r="H91" s="8" t="inlineStr">
        <is>
          <t>https://www.wsg-fussball.at/de/nachwuchs/infos/</t>
        </is>
      </c>
      <c r="I91" s="9" t="n">
        <v>3</v>
      </c>
      <c r="J91" s="7" t="inlineStr">
        <is>
          <t>Zweryfikowany</t>
        </is>
      </c>
      <c r="K91" s="7" t="inlineStr">
        <is>
          <t>Bundesliga</t>
        </is>
      </c>
    </row>
    <row r="92">
      <c r="A92" s="7" t="inlineStr">
        <is>
          <t>Austria</t>
        </is>
      </c>
      <c r="B92" s="7" t="inlineStr">
        <is>
          <t>SCR Altach</t>
        </is>
      </c>
      <c r="C92" s="7" t="inlineStr">
        <is>
          <t>—</t>
        </is>
      </c>
      <c r="D92" s="7" t="inlineStr">
        <is>
          <t>SCRA Nachwuchs</t>
        </is>
      </c>
      <c r="E92" s="7" t="inlineStr">
        <is>
          <t>Młodzież (największa w Vorarlbergu)</t>
        </is>
      </c>
      <c r="F92" s="7" t="inlineStr"/>
      <c r="G92" s="8" t="inlineStr">
        <is>
          <t>https://www.scra.at/teams/nachwuchs/scra-nachwuchs</t>
        </is>
      </c>
      <c r="H92" s="8" t="inlineStr">
        <is>
          <t>https://www.scra.at/teams/nachwuchs/scra-nachwuchs</t>
        </is>
      </c>
      <c r="I92" s="9" t="n">
        <v>3</v>
      </c>
      <c r="J92" s="7" t="inlineStr">
        <is>
          <t>Częściowo – brak maila osoby</t>
        </is>
      </c>
      <c r="K92" s="7" t="inlineStr">
        <is>
          <t>Bundesliga. Brak publicznego maila</t>
        </is>
      </c>
    </row>
    <row r="93">
      <c r="A93" s="7" t="inlineStr">
        <is>
          <t>Austria</t>
        </is>
      </c>
      <c r="B93" s="7" t="inlineStr">
        <is>
          <t>SC Austria Lustenau</t>
        </is>
      </c>
      <c r="C93" s="7" t="inlineStr">
        <is>
          <t>Mike Urschitz</t>
        </is>
      </c>
      <c r="D93" s="7" t="inlineStr">
        <is>
          <t>Sportlicher Nachwuchsleiter</t>
        </is>
      </c>
      <c r="E93" s="7" t="inlineStr">
        <is>
          <t>Młodzież</t>
        </is>
      </c>
      <c r="F93" s="7" t="inlineStr"/>
      <c r="G93" s="7" t="inlineStr">
        <is>
          <t>info@austria-lustenau.at; +43 5577 86250</t>
        </is>
      </c>
      <c r="H93" s="8" t="inlineStr">
        <is>
          <t>https://www.austria-lustenau.at/kontakt</t>
        </is>
      </c>
      <c r="I93" s="9" t="n">
        <v>3</v>
      </c>
      <c r="J93" s="7" t="inlineStr">
        <is>
          <t>Częściowo – brak maila osoby</t>
        </is>
      </c>
      <c r="K93" s="7" t="inlineStr">
        <is>
          <t>Bundesliga (beniaminek). Tel. do osoby: +43 699 19202012</t>
        </is>
      </c>
    </row>
    <row r="94">
      <c r="A94" s="7" t="inlineStr">
        <is>
          <t>Szwajcaria</t>
        </is>
      </c>
      <c r="B94" s="7" t="inlineStr">
        <is>
          <t>BSC Young Boys</t>
        </is>
      </c>
      <c r="C94" s="7" t="inlineStr">
        <is>
          <t>Christian Franke</t>
        </is>
      </c>
      <c r="D94" s="7" t="inlineStr">
        <is>
          <t>Technischer Direktor Youth Base</t>
        </is>
      </c>
      <c r="E94" s="7" t="inlineStr">
        <is>
          <t>Akademia (U15–U21)</t>
        </is>
      </c>
      <c r="F94" s="7" t="inlineStr"/>
      <c r="G94" s="7" t="inlineStr">
        <is>
          <t>info@bscyb.ch; +41 31 344 88 88</t>
        </is>
      </c>
      <c r="H94" s="8" t="inlineStr">
        <is>
          <t>https://www.bscyb.ch/youth-base-staff</t>
        </is>
      </c>
      <c r="I94" s="9" t="n">
        <v>1</v>
      </c>
      <c r="J94" s="7" t="inlineStr">
        <is>
          <t>Częściowo – brak maila osoby</t>
        </is>
      </c>
      <c r="K94" s="7" t="inlineStr">
        <is>
          <t>Super League</t>
        </is>
      </c>
    </row>
    <row r="95">
      <c r="A95" s="7" t="inlineStr">
        <is>
          <t>Szwajcaria</t>
        </is>
      </c>
      <c r="B95" s="7" t="inlineStr">
        <is>
          <t>FC Basel</t>
        </is>
      </c>
      <c r="C95" s="7" t="inlineStr">
        <is>
          <t>Timo Jankowski</t>
        </is>
      </c>
      <c r="D95" s="7" t="inlineStr">
        <is>
          <t>Leiter Nachwuchs</t>
        </is>
      </c>
      <c r="E95" s="7" t="inlineStr">
        <is>
          <t>Nachwuchs-Campus</t>
        </is>
      </c>
      <c r="F95" s="7" t="inlineStr"/>
      <c r="G95" s="7" t="inlineStr">
        <is>
          <t>info@fcb.ch; 061 375 10 10</t>
        </is>
      </c>
      <c r="H95" s="8" t="inlineStr">
        <is>
          <t>https://www.fcb.ch/aktuell/news/nachwuchs/veraenderungen-auf-dem-campus-januar-2026</t>
        </is>
      </c>
      <c r="I95" s="9" t="n">
        <v>1</v>
      </c>
      <c r="J95" s="7" t="inlineStr">
        <is>
          <t>Częściowo – brak maila osoby</t>
        </is>
      </c>
      <c r="K95" s="7" t="inlineStr">
        <is>
          <t>Super League. Administracja Campusu: danique.stein@nachwuchs-campus.ch</t>
        </is>
      </c>
    </row>
    <row r="96">
      <c r="A96" s="7" t="inlineStr">
        <is>
          <t>Szwajcaria</t>
        </is>
      </c>
      <c r="B96" s="7" t="inlineStr">
        <is>
          <t>FC Zürich</t>
        </is>
      </c>
      <c r="C96" s="7" t="inlineStr">
        <is>
          <t>Balz Rau</t>
        </is>
      </c>
      <c r="D96" s="7" t="inlineStr">
        <is>
          <t>Koordinator Nachwuchsscouting</t>
        </is>
      </c>
      <c r="E96" s="7" t="inlineStr">
        <is>
          <t>Scouting młodzieżowy</t>
        </is>
      </c>
      <c r="F96" s="7" t="inlineStr">
        <is>
          <t>balz.rau@fcz.ch</t>
        </is>
      </c>
      <c r="G96" s="7" t="inlineStr">
        <is>
          <t>+41 43 521 12 12</t>
        </is>
      </c>
      <c r="H96" s="8" t="inlineStr">
        <is>
          <t>https://www.fcz.ch/pages/leitung-und-staff</t>
        </is>
      </c>
      <c r="I96" s="9" t="n">
        <v>1</v>
      </c>
      <c r="J96" s="7" t="inlineStr">
        <is>
          <t>Zweryfikowany</t>
        </is>
      </c>
      <c r="K96" s="7" t="inlineStr">
        <is>
          <t>Super League. Ausbildungschef: Sascha Milicevic; Techn. Leiter: Claudio Calvi</t>
        </is>
      </c>
    </row>
    <row r="97">
      <c r="A97" s="7" t="inlineStr">
        <is>
          <t>Szwajcaria</t>
        </is>
      </c>
      <c r="B97" s="7" t="inlineStr">
        <is>
          <t>FC Thun</t>
        </is>
      </c>
      <c r="C97" s="7" t="inlineStr">
        <is>
          <t>Jürg Frey</t>
        </is>
      </c>
      <c r="D97" s="7" t="inlineStr">
        <is>
          <t>Leiter Nachwuchs</t>
        </is>
      </c>
      <c r="E97" s="7" t="inlineStr">
        <is>
          <t>Młodzież</t>
        </is>
      </c>
      <c r="F97" s="7" t="inlineStr">
        <is>
          <t>juerg.frey@fcthun.ch</t>
        </is>
      </c>
      <c r="G97" s="7" t="inlineStr">
        <is>
          <t>033 225 18 98; info@fcthun.ch</t>
        </is>
      </c>
      <c r="H97" s="8" t="inlineStr">
        <is>
          <t>https://www.fcthun.ch/de/teams/nachwuchs</t>
        </is>
      </c>
      <c r="I97" s="9" t="n">
        <v>1</v>
      </c>
      <c r="J97" s="7" t="inlineStr">
        <is>
          <t>Zweryfikowany</t>
        </is>
      </c>
      <c r="K97" s="7" t="inlineStr">
        <is>
          <t>Super League – aktualny mistrz Szwajcarii</t>
        </is>
      </c>
    </row>
    <row r="98">
      <c r="A98" s="7" t="inlineStr">
        <is>
          <t>Szwajcaria</t>
        </is>
      </c>
      <c r="B98" s="7" t="inlineStr">
        <is>
          <t>FC Lugano</t>
        </is>
      </c>
      <c r="C98" s="7" t="inlineStr">
        <is>
          <t>Roman Hangarter</t>
        </is>
      </c>
      <c r="D98" s="7" t="inlineStr">
        <is>
          <t>Direttore Academy</t>
        </is>
      </c>
      <c r="E98" s="7" t="inlineStr">
        <is>
          <t>Akademia + Partenariato Ticino (od 26/27)</t>
        </is>
      </c>
      <c r="F98" s="7" t="inlineStr"/>
      <c r="G98" s="7" t="inlineStr">
        <is>
          <t>+41 91 922 86 72</t>
        </is>
      </c>
      <c r="H98" s="8" t="inlineStr">
        <is>
          <t>https://fclugano.com/en/academy/</t>
        </is>
      </c>
      <c r="I98" s="9" t="n">
        <v>1</v>
      </c>
      <c r="J98" s="7" t="inlineStr">
        <is>
          <t>Częściowo – brak maila osoby</t>
        </is>
      </c>
      <c r="K98" s="7" t="inlineStr">
        <is>
          <t>Super League. Chief Sports Officer: Sebastian Pelzer</t>
        </is>
      </c>
    </row>
    <row r="99">
      <c r="A99" s="7" t="inlineStr">
        <is>
          <t>Szwajcaria</t>
        </is>
      </c>
      <c r="B99" s="7" t="inlineStr">
        <is>
          <t>FC Lausanne-Sport</t>
        </is>
      </c>
      <c r="C99" s="7" t="inlineStr">
        <is>
          <t>Massimo Ceccaroni</t>
        </is>
      </c>
      <c r="D99" s="7" t="inlineStr">
        <is>
          <t>Directeur Technique Académie</t>
        </is>
      </c>
      <c r="E99" s="7" t="inlineStr">
        <is>
          <t>Akademia</t>
        </is>
      </c>
      <c r="F99" s="7" t="inlineStr"/>
      <c r="G99" s="7" t="inlineStr">
        <is>
          <t>+41 21 641 05 30</t>
        </is>
      </c>
      <c r="H99" s="8" t="inlineStr">
        <is>
          <t>https://www.lausanne-sport.ch/contact/</t>
        </is>
      </c>
      <c r="I99" s="9" t="n">
        <v>1</v>
      </c>
      <c r="J99" s="7" t="inlineStr">
        <is>
          <t>Częściowo – brak maila osoby</t>
        </is>
      </c>
      <c r="K99" s="7" t="inlineStr">
        <is>
          <t>Super League</t>
        </is>
      </c>
    </row>
    <row r="100">
      <c r="A100" s="7" t="inlineStr">
        <is>
          <t>Szwajcaria</t>
        </is>
      </c>
      <c r="B100" s="7" t="inlineStr">
        <is>
          <t>FC Vaduz</t>
        </is>
      </c>
      <c r="C100" s="7" t="inlineStr">
        <is>
          <t>Lorenz Gassner</t>
        </is>
      </c>
      <c r="D100" s="7" t="inlineStr">
        <is>
          <t>Leiter Nachwuchs</t>
        </is>
      </c>
      <c r="E100" s="7" t="inlineStr">
        <is>
          <t>Młodzież</t>
        </is>
      </c>
      <c r="F100" s="7" t="inlineStr">
        <is>
          <t>lorenz.gassner@fcvaduz.li</t>
        </is>
      </c>
      <c r="G100" s="7" t="inlineStr">
        <is>
          <t>+41 78 773 76 13; info@fcvaduz.li</t>
        </is>
      </c>
      <c r="H100" s="8" t="inlineStr">
        <is>
          <t>https://www.fcvaduz.li/kontakt</t>
        </is>
      </c>
      <c r="I100" s="9" t="n">
        <v>2</v>
      </c>
      <c r="J100" s="7" t="inlineStr">
        <is>
          <t>Zweryfikowany</t>
        </is>
      </c>
      <c r="K100" s="7" t="inlineStr">
        <is>
          <t>Super League (beniaminek)</t>
        </is>
      </c>
    </row>
    <row r="101">
      <c r="A101" s="7" t="inlineStr">
        <is>
          <t>Szwajcaria</t>
        </is>
      </c>
      <c r="B101" s="7" t="inlineStr">
        <is>
          <t>FC St. Gallen</t>
        </is>
      </c>
      <c r="C101" s="7" t="inlineStr">
        <is>
          <t>David Garcia</t>
        </is>
      </c>
      <c r="D101" s="7" t="inlineStr">
        <is>
          <t>Academy Director – Future Champs Ostschweiz</t>
        </is>
      </c>
      <c r="E101" s="7" t="inlineStr">
        <is>
          <t>Akademia regionu Ostschweiz</t>
        </is>
      </c>
      <c r="F101" s="7" t="inlineStr"/>
      <c r="G101" s="7" t="inlineStr">
        <is>
          <t>info@futurechamps.ch; +41 71 314 14 14</t>
        </is>
      </c>
      <c r="H101" s="8" t="inlineStr">
        <is>
          <t>https://www.fcsg.ch/future-champs/organisation/kontakt/</t>
        </is>
      </c>
      <c r="I101" s="9" t="n">
        <v>2</v>
      </c>
      <c r="J101" s="7" t="inlineStr">
        <is>
          <t>Częściowo – brak maila osoby</t>
        </is>
      </c>
      <c r="K101" s="7" t="inlineStr">
        <is>
          <t>Super League</t>
        </is>
      </c>
    </row>
    <row r="102">
      <c r="A102" s="7" t="inlineStr">
        <is>
          <t>Szwajcaria</t>
        </is>
      </c>
      <c r="B102" s="7" t="inlineStr">
        <is>
          <t>Servette FC</t>
        </is>
      </c>
      <c r="C102" s="7" t="inlineStr">
        <is>
          <t>—</t>
        </is>
      </c>
      <c r="D102" s="7" t="inlineStr">
        <is>
          <t>Académie SFC</t>
        </is>
      </c>
      <c r="E102" s="7" t="inlineStr">
        <is>
          <t>Akademia</t>
        </is>
      </c>
      <c r="F102" s="7" t="inlineStr"/>
      <c r="G102" s="7" t="inlineStr">
        <is>
          <t>tel. +41 22 340 54 74</t>
        </is>
      </c>
      <c r="H102" s="8" t="inlineStr">
        <is>
          <t>https://servettefc.ch/academie/je-veux-jouer-au-sfc/</t>
        </is>
      </c>
      <c r="I102" s="9" t="n">
        <v>2</v>
      </c>
      <c r="J102" s="7" t="inlineStr">
        <is>
          <t>Częściowo – brak maila osoby</t>
        </is>
      </c>
      <c r="K102" s="7" t="inlineStr">
        <is>
          <t>Super League</t>
        </is>
      </c>
    </row>
    <row r="103">
      <c r="A103" s="7" t="inlineStr">
        <is>
          <t>Szwajcaria</t>
        </is>
      </c>
      <c r="B103" s="7" t="inlineStr">
        <is>
          <t>FC Sion</t>
        </is>
      </c>
      <c r="C103" s="7" t="inlineStr">
        <is>
          <t>Xavier Henriques</t>
        </is>
      </c>
      <c r="D103" s="7" t="inlineStr">
        <is>
          <t>Coordinateur Académie/Formation</t>
        </is>
      </c>
      <c r="E103" s="7" t="inlineStr">
        <is>
          <t>Akademia</t>
        </is>
      </c>
      <c r="F103" s="7" t="inlineStr"/>
      <c r="G103" s="7" t="inlineStr">
        <is>
          <t>secretariat@fcsion.ch; 027 747 13 13</t>
        </is>
      </c>
      <c r="H103" s="8" t="inlineStr">
        <is>
          <t>https://www.fcsion.ch/fr/administration/</t>
        </is>
      </c>
      <c r="I103" s="9" t="n">
        <v>2</v>
      </c>
      <c r="J103" s="7" t="inlineStr">
        <is>
          <t>Częściowo – brak maila osoby</t>
        </is>
      </c>
      <c r="K103" s="7" t="inlineStr">
        <is>
          <t>Super League</t>
        </is>
      </c>
    </row>
    <row r="104">
      <c r="A104" s="7" t="inlineStr">
        <is>
          <t>Szwajcaria</t>
        </is>
      </c>
      <c r="B104" s="7" t="inlineStr">
        <is>
          <t>FC Luzern</t>
        </is>
      </c>
      <c r="C104" s="7" t="inlineStr">
        <is>
          <t>—</t>
        </is>
      </c>
      <c r="D104" s="7" t="inlineStr">
        <is>
          <t>Nachwuchs</t>
        </is>
      </c>
      <c r="E104" s="7" t="inlineStr">
        <is>
          <t>Młodzież</t>
        </is>
      </c>
      <c r="F104" s="7" t="inlineStr"/>
      <c r="G104" s="7" t="inlineStr">
        <is>
          <t>kontakt@fcl-verein.ch; 0848 317 000</t>
        </is>
      </c>
      <c r="H104" s="8" t="inlineStr">
        <is>
          <t>https://fcl.ch/role/nachwuchs/</t>
        </is>
      </c>
      <c r="I104" s="9" t="n">
        <v>2</v>
      </c>
      <c r="J104" s="7" t="inlineStr">
        <is>
          <t>Częściowo – brak maila osoby</t>
        </is>
      </c>
      <c r="K104" s="7" t="inlineStr">
        <is>
          <t>Super League. Brak publicznego maila akademii</t>
        </is>
      </c>
    </row>
    <row r="105">
      <c r="A105" s="7" t="inlineStr">
        <is>
          <t>Szwajcaria</t>
        </is>
      </c>
      <c r="B105" s="7" t="inlineStr">
        <is>
          <t>Grasshopper Club Zürich</t>
        </is>
      </c>
      <c r="C105" s="7" t="inlineStr">
        <is>
          <t>—</t>
        </is>
      </c>
      <c r="D105" s="7" t="inlineStr">
        <is>
          <t>Nachwuchs / GC Campus</t>
        </is>
      </c>
      <c r="E105" s="7" t="inlineStr">
        <is>
          <t>Kontakt ogólny</t>
        </is>
      </c>
      <c r="F105" s="7" t="inlineStr"/>
      <c r="G105" s="7" t="inlineStr">
        <is>
          <t>info@gcz.ch; +41 44 447 46 46</t>
        </is>
      </c>
      <c r="H105" s="8" t="inlineStr">
        <is>
          <t>https://www.gcz.ch/kontakt/</t>
        </is>
      </c>
      <c r="I105" s="9" t="n">
        <v>2</v>
      </c>
      <c r="J105" s="7" t="inlineStr">
        <is>
          <t>Częściowo – brak maila osoby</t>
        </is>
      </c>
      <c r="K105" s="7" t="inlineStr">
        <is>
          <t>Super League</t>
        </is>
      </c>
    </row>
    <row r="106">
      <c r="A106" s="7" t="inlineStr">
        <is>
          <t>Portugalia</t>
        </is>
      </c>
      <c r="B106" s="7" t="inlineStr">
        <is>
          <t>SL Benfica</t>
        </is>
      </c>
      <c r="C106" s="7" t="inlineStr">
        <is>
          <t>—</t>
        </is>
      </c>
      <c r="D106" s="7" t="inlineStr">
        <is>
          <t>Departamento de Scouting e Avaliação de Jogadores</t>
        </is>
      </c>
      <c r="E106" s="7" t="inlineStr">
        <is>
          <t>Scouting U10–U19 (bez otwartych testów)</t>
        </is>
      </c>
      <c r="F106" s="7" t="inlineStr"/>
      <c r="G106" s="7" t="inlineStr">
        <is>
          <t>formularz: slbenfica.pt/en-us/apoio/contactos</t>
        </is>
      </c>
      <c r="H106" s="8" t="inlineStr">
        <is>
          <t>https://www.slbenfica.pt/en-us/futebol-formacao/formacao/prospecao/recrutamento-jogadores</t>
        </is>
      </c>
      <c r="I106" s="9" t="n">
        <v>1</v>
      </c>
      <c r="J106" s="7" t="inlineStr">
        <is>
          <t>Częściowo – brak maila osoby</t>
        </is>
      </c>
      <c r="K106" s="7" t="inlineStr">
        <is>
          <t>CIES 2026: nr 1 na świecie wg przychodów ze sprzedaży wychowanków (589 mln € / 10 lat); 73 wychowanków w 31 ligach UEFA (2. miejsce)</t>
        </is>
      </c>
    </row>
    <row r="107">
      <c r="A107" s="7" t="inlineStr">
        <is>
          <t>Portugalia</t>
        </is>
      </c>
      <c r="B107" s="7" t="inlineStr">
        <is>
          <t>Sporting CP</t>
        </is>
      </c>
      <c r="C107" s="7" t="inlineStr">
        <is>
          <t>—</t>
        </is>
      </c>
      <c r="D107" s="7" t="inlineStr">
        <is>
          <t>Academia Cristiano Ronaldo</t>
        </is>
      </c>
      <c r="E107" s="7" t="inlineStr">
        <is>
          <t>Scouting akademii (Alcochete)</t>
        </is>
      </c>
      <c r="F107" s="7" t="inlineStr"/>
      <c r="G107" s="8" t="inlineStr">
        <is>
          <t>https://escolasacademia.sporting.pt</t>
        </is>
      </c>
      <c r="H107" s="8" t="inlineStr">
        <is>
          <t>https://en.wikipedia.org/wiki/Academia_Cristiano_Ronaldo</t>
        </is>
      </c>
      <c r="I107" s="9" t="n">
        <v>1</v>
      </c>
      <c r="J107" s="7" t="inlineStr">
        <is>
          <t>Częściowo – brak maila osoby</t>
        </is>
      </c>
      <c r="K107" s="7" t="inlineStr">
        <is>
          <t>CIES 2026: 3. miejsce w Training Index; najlepsza akademia spoza Big-5 wg wychowanków w Big-5 (24); top 10 dochodów ze sprzedaży</t>
        </is>
      </c>
    </row>
    <row r="108">
      <c r="A108" s="7" t="inlineStr">
        <is>
          <t>Portugalia</t>
        </is>
      </c>
      <c r="B108" s="7" t="inlineStr">
        <is>
          <t>FC Porto</t>
        </is>
      </c>
      <c r="C108" s="7" t="inlineStr">
        <is>
          <t>Nelson Oliveira</t>
        </is>
      </c>
      <c r="D108" s="7" t="inlineStr">
        <is>
          <t>Head of Recruitment</t>
        </is>
      </c>
      <c r="E108" s="7" t="inlineStr">
        <is>
          <t>Scouting – zgłaszanie zawodników</t>
        </is>
      </c>
      <c r="F108" s="7" t="inlineStr"/>
      <c r="G108" s="7" t="inlineStr">
        <is>
          <t>geral.scouting@fcporto.pt</t>
        </is>
      </c>
      <c r="H108" s="8" t="inlineStr">
        <is>
          <t>https://www.fcporto.pt/pt/contactos</t>
        </is>
      </c>
      <c r="I108" s="9" t="n">
        <v>1</v>
      </c>
      <c r="J108" s="7" t="inlineStr">
        <is>
          <t>Zweryfikowany</t>
        </is>
      </c>
      <c r="K108" s="7" t="inlineStr">
        <is>
          <t>Oficjalny adres działu scoutingu do przesyłania informacji o zawodnikach. Uznana akademia sprzedażowa (poza top 10 CIES)</t>
        </is>
      </c>
    </row>
    <row r="109">
      <c r="A109" s="7" t="inlineStr">
        <is>
          <t>Holandia</t>
        </is>
      </c>
      <c r="B109" s="7" t="inlineStr">
        <is>
          <t>AFC Ajax</t>
        </is>
      </c>
      <c r="C109" s="7" t="inlineStr">
        <is>
          <t>Kelvin de Lang</t>
        </is>
      </c>
      <c r="D109" s="7" t="inlineStr">
        <is>
          <t>Head of Scouting &amp; Recruitment, Academy De Toekomst</t>
        </is>
      </c>
      <c r="E109" s="7" t="inlineStr">
        <is>
          <t>Scouting akademii</t>
        </is>
      </c>
      <c r="F109" s="7" t="inlineStr"/>
      <c r="G109" s="8" t="inlineStr">
        <is>
          <t>https://www.ajax.nl/club/jeugdopleiding</t>
        </is>
      </c>
      <c r="H109" s="8" t="inlineStr">
        <is>
          <t>https://www.ajax.nl/artikelen/ajax-doc-scouten-voor-de-toekomst</t>
        </is>
      </c>
      <c r="I109" s="9" t="n">
        <v>1</v>
      </c>
      <c r="J109" s="7" t="inlineStr">
        <is>
          <t>Częściowo – brak maila osoby</t>
        </is>
      </c>
      <c r="K109" s="7" t="inlineStr">
        <is>
          <t>CIES 2026: nr 1 w Europie – 85 wychowanków w 31 ligach UEFA, 1. miejsce Training Index; 2. na świecie w sprzedaży wychowanków (454 mln €)</t>
        </is>
      </c>
    </row>
    <row r="110">
      <c r="A110" s="7" t="inlineStr">
        <is>
          <t>Holandia</t>
        </is>
      </c>
      <c r="B110" s="7" t="inlineStr">
        <is>
          <t>PSV Eindhoven</t>
        </is>
      </c>
      <c r="C110" s="7" t="inlineStr">
        <is>
          <t>Rini de Groot</t>
        </is>
      </c>
      <c r="D110" s="7" t="inlineStr">
        <is>
          <t>Hoofd jeugdscouting</t>
        </is>
      </c>
      <c r="E110" s="7" t="inlineStr">
        <is>
          <t>Scouting akademii (De Herdgang)</t>
        </is>
      </c>
      <c r="F110" s="7" t="inlineStr"/>
      <c r="G110" s="7" t="inlineStr">
        <is>
          <t>Oirschotsedijk 12a, 5651 GC Eindhoven</t>
        </is>
      </c>
      <c r="H110" s="8" t="inlineStr">
        <is>
          <t>https://www.psv.nl/en/club/psv-campus-de-herdgang-1/psv-campus</t>
        </is>
      </c>
      <c r="I110" s="9" t="n">
        <v>2</v>
      </c>
      <c r="J110" s="7" t="inlineStr">
        <is>
          <t>Częściowo – brak maila osoby</t>
        </is>
      </c>
      <c r="K110" s="7" t="inlineStr">
        <is>
          <t>Head of Scouting klubu: Jan Vennegoor of Hesselink. Uznana akademia (poza top 10 CIES)</t>
        </is>
      </c>
    </row>
    <row r="111">
      <c r="A111" s="7" t="inlineStr">
        <is>
          <t>Holandia</t>
        </is>
      </c>
      <c r="B111" s="7" t="inlineStr">
        <is>
          <t>Feyenoord</t>
        </is>
      </c>
      <c r="C111" s="7" t="inlineStr">
        <is>
          <t>Ricardo Kern</t>
        </is>
      </c>
      <c r="D111" s="7" t="inlineStr">
        <is>
          <t>Coördinator wedstrijdzaken Feyenoord Academy</t>
        </is>
      </c>
      <c r="E111" s="7" t="inlineStr">
        <is>
          <t>Scouting / sprawy drużyn akademii</t>
        </is>
      </c>
      <c r="F111" s="7" t="inlineStr">
        <is>
          <t>ukryty na stronie (ochrona antyspamowa) – skopiuj ze strony</t>
        </is>
      </c>
      <c r="G111" s="7" t="inlineStr">
        <is>
          <t>Olympiaweg 280, 3078 HT Rotterdam</t>
        </is>
      </c>
      <c r="H111" s="8" t="inlineStr">
        <is>
          <t>https://www.feyenoord.com/nl/academy/contact</t>
        </is>
      </c>
      <c r="I111" s="9" t="n">
        <v>2</v>
      </c>
      <c r="J111" s="7" t="inlineStr">
        <is>
          <t>Częściowo – brak maila osoby</t>
        </is>
      </c>
      <c r="K111" s="7" t="inlineStr">
        <is>
          <t>Uznana akademia (poza top 10 CIES)</t>
        </is>
      </c>
    </row>
    <row r="112">
      <c r="A112" s="7" t="inlineStr">
        <is>
          <t>Holandia</t>
        </is>
      </c>
      <c r="B112" s="7" t="inlineStr">
        <is>
          <t>AZ Alkmaar</t>
        </is>
      </c>
      <c r="C112" s="7" t="inlineStr">
        <is>
          <t>—</t>
        </is>
      </c>
      <c r="D112" s="7" t="inlineStr">
        <is>
          <t>AZ Jeugdopleiding</t>
        </is>
      </c>
      <c r="E112" s="7" t="inlineStr">
        <is>
          <t>Akademia, dni selekcji U8–U13</t>
        </is>
      </c>
      <c r="F112" s="7" t="inlineStr"/>
      <c r="G112" s="8" t="inlineStr">
        <is>
          <t>https://www.az.nl/jeugdopleiding</t>
        </is>
      </c>
      <c r="H112" s="8" t="inlineStr">
        <is>
          <t>https://www.az.nl/jeugdopleiding/az-voetbalschool</t>
        </is>
      </c>
      <c r="I112" s="9" t="n">
        <v>2</v>
      </c>
      <c r="J112" s="7" t="inlineStr">
        <is>
          <t>Częściowo – brak maila osoby</t>
        </is>
      </c>
      <c r="K112" s="7" t="inlineStr">
        <is>
          <t>Uznana akademia (poza top 10 CIES)</t>
        </is>
      </c>
    </row>
    <row r="113">
      <c r="A113" s="7" t="inlineStr">
        <is>
          <t>Hiszpania</t>
        </is>
      </c>
      <c r="B113" s="7" t="inlineStr">
        <is>
          <t>Real Sociedad</t>
        </is>
      </c>
      <c r="C113" s="7" t="inlineStr">
        <is>
          <t>—</t>
        </is>
      </c>
      <c r="D113" s="7" t="inlineStr">
        <is>
          <t>Zubieta (cantera)</t>
        </is>
      </c>
      <c r="E113" s="7" t="inlineStr">
        <is>
          <t>Akademia – głównie talenty z Gipuzkoa</t>
        </is>
      </c>
      <c r="F113" s="7" t="inlineStr"/>
      <c r="G113" s="7" t="inlineStr">
        <is>
          <t>realsociedad.eus</t>
        </is>
      </c>
      <c r="H113" s="8" t="inlineStr">
        <is>
          <t>https://en.wikipedia.org/wiki/Real_Sociedad_Cantera</t>
        </is>
      </c>
      <c r="I113" s="9" t="n">
        <v>2</v>
      </c>
      <c r="J113" s="7" t="inlineStr">
        <is>
          <t>Częściowo – brak maila osoby</t>
        </is>
      </c>
      <c r="K113" s="7" t="inlineStr">
        <is>
          <t>CIES 2026: top 10 w Europie wg wychowanków w Big-5</t>
        </is>
      </c>
    </row>
    <row r="114">
      <c r="A114" s="7" t="inlineStr">
        <is>
          <t>Hiszpania</t>
        </is>
      </c>
      <c r="B114" s="7" t="inlineStr">
        <is>
          <t>Villarreal CF</t>
        </is>
      </c>
      <c r="C114" s="7" t="inlineStr">
        <is>
          <t>—</t>
        </is>
      </c>
      <c r="D114" s="7" t="inlineStr">
        <is>
          <t>Cantera Grogueta</t>
        </is>
      </c>
      <c r="E114" s="7" t="inlineStr">
        <is>
          <t>Akademia (36 drużyn, ~650 zawodników)</t>
        </is>
      </c>
      <c r="F114" s="7" t="inlineStr"/>
      <c r="G114" s="7" t="inlineStr">
        <is>
          <t>formularz: villarrealcf.es/en/formulario-contacto/</t>
        </is>
      </c>
      <c r="H114" s="8" t="inlineStr">
        <is>
          <t>https://villarrealcf.es/es/cantera-grogueta/</t>
        </is>
      </c>
      <c r="I114" s="9" t="n">
        <v>2</v>
      </c>
      <c r="J114" s="7" t="inlineStr">
        <is>
          <t>Częściowo – brak maila osoby</t>
        </is>
      </c>
      <c r="K114" s="7" t="inlineStr">
        <is>
          <t>Bez otwartych testów dla chłopców. Uznana akademia (poza top 10 CIES)</t>
        </is>
      </c>
    </row>
    <row r="115">
      <c r="A115" s="7" t="inlineStr">
        <is>
          <t>Hiszpania</t>
        </is>
      </c>
      <c r="B115" s="7" t="inlineStr">
        <is>
          <t>Valencia CF</t>
        </is>
      </c>
      <c r="C115" s="7" t="inlineStr">
        <is>
          <t>—</t>
        </is>
      </c>
      <c r="D115" s="7" t="inlineStr">
        <is>
          <t>Academia VCF (Paterna)</t>
        </is>
      </c>
      <c r="E115" s="7" t="inlineStr">
        <is>
          <t>Akademia</t>
        </is>
      </c>
      <c r="F115" s="7" t="inlineStr"/>
      <c r="G115" s="8" t="inlineStr">
        <is>
          <t>https://formacion.valenciacf.com/en/contacto/</t>
        </is>
      </c>
      <c r="H115" s="8" t="inlineStr">
        <is>
          <t>https://www.valenciacf.com/vcf-academy</t>
        </is>
      </c>
      <c r="I115" s="9" t="n">
        <v>2</v>
      </c>
      <c r="J115" s="7" t="inlineStr">
        <is>
          <t>Częściowo – brak maila osoby</t>
        </is>
      </c>
      <c r="K115" s="7" t="inlineStr">
        <is>
          <t>Wg klubu: 4. najlepsza akademia w Europie (ranking CIES)</t>
        </is>
      </c>
    </row>
    <row r="116">
      <c r="A116" s="7" t="inlineStr">
        <is>
          <t>Hiszpania</t>
        </is>
      </c>
      <c r="B116" s="7" t="inlineStr">
        <is>
          <t>Athletic Club</t>
        </is>
      </c>
      <c r="C116" s="7" t="inlineStr">
        <is>
          <t>—</t>
        </is>
      </c>
      <c r="D116" s="7" t="inlineStr">
        <is>
          <t>Lezama (cantera)</t>
        </is>
      </c>
      <c r="E116" s="7" t="inlineStr">
        <is>
          <t>Akademia – tylko zawodnicy z korzeniami baskijskimi</t>
        </is>
      </c>
      <c r="F116" s="7" t="inlineStr"/>
      <c r="G116" s="7" t="inlineStr">
        <is>
          <t>Barrio Garaioltza 147, 48196 Lezama; https://www.athletic-club.eus/en/contact/</t>
        </is>
      </c>
      <c r="H116" s="8" t="inlineStr">
        <is>
          <t>https://www.athletic-club.eus/en/teams/lezama/</t>
        </is>
      </c>
      <c r="I116" s="9" t="n">
        <v>3</v>
      </c>
      <c r="J116" s="7" t="inlineStr">
        <is>
          <t>Częściowo – brak maila osoby</t>
        </is>
      </c>
      <c r="K116" s="7" t="inlineStr">
        <is>
          <t>CIES MR99: 7. miejsce wg minut wychowanków w Big-5 (20 lat). Rekrutacja ograniczona do Kraju Basków</t>
        </is>
      </c>
    </row>
    <row r="117">
      <c r="A117" s="7" t="inlineStr">
        <is>
          <t>Hiszpania</t>
        </is>
      </c>
      <c r="B117" s="7" t="inlineStr">
        <is>
          <t>FC Barcelona</t>
        </is>
      </c>
      <c r="C117" s="7" t="inlineStr">
        <is>
          <t>—</t>
        </is>
      </c>
      <c r="D117" s="7" t="inlineStr">
        <is>
          <t>La Masia</t>
        </is>
      </c>
      <c r="E117" s="7" t="inlineStr">
        <is>
          <t>Akademia</t>
        </is>
      </c>
      <c r="F117" s="7" t="inlineStr"/>
      <c r="G117" s="7" t="inlineStr">
        <is>
          <t>oab@fcbarcelona.cat (informacja ogólna)</t>
        </is>
      </c>
      <c r="H117" s="8" t="inlineStr">
        <is>
          <t>https://www.fcbarcelona.com/en/club/identity/la-masia</t>
        </is>
      </c>
      <c r="I117" s="9" t="n">
        <v>3</v>
      </c>
      <c r="J117" s="7" t="inlineStr">
        <is>
          <t>Częściowo – brak maila osoby</t>
        </is>
      </c>
      <c r="K117" s="7" t="inlineStr">
        <is>
          <t>CIES MR99: 2. miejsce – 156 wychowanków w Big-5 (20 lat). barcaescola@fcbarcelona.cat to szkółka FCBEscola, nie scouting</t>
        </is>
      </c>
    </row>
    <row r="118">
      <c r="A118" s="7" t="inlineStr">
        <is>
          <t>Hiszpania</t>
        </is>
      </c>
      <c r="B118" s="7" t="inlineStr">
        <is>
          <t>Real Madrid</t>
        </is>
      </c>
      <c r="C118" s="7" t="inlineStr">
        <is>
          <t>Juni Calafat</t>
        </is>
      </c>
      <c r="D118" s="7" t="inlineStr">
        <is>
          <t>Chief Scout</t>
        </is>
      </c>
      <c r="E118" s="7" t="inlineStr">
        <is>
          <t>Scouting (głównie 1. zespół)</t>
        </is>
      </c>
      <c r="F118" s="7" t="inlineStr"/>
      <c r="G118" s="7" t="inlineStr">
        <is>
          <t>realmadrid.com – sekcja cantera</t>
        </is>
      </c>
      <c r="H118" s="8" t="inlineStr">
        <is>
          <t>https://en.wikipedia.org/wiki/Juni_Calafat</t>
        </is>
      </c>
      <c r="I118" s="9" t="n">
        <v>3</v>
      </c>
      <c r="J118" s="7" t="inlineStr">
        <is>
          <t>Częściowo – brak maila osoby</t>
        </is>
      </c>
      <c r="K118" s="7" t="inlineStr">
        <is>
          <t>CIES MR99: 1. miejsce – 166 wychowanków w Big-5 (20 lat), 103 w 55 ligach. Brak publicznego kontaktu scoutingu</t>
        </is>
      </c>
    </row>
    <row r="119">
      <c r="A119" s="7" t="inlineStr">
        <is>
          <t>Niemcy</t>
        </is>
      </c>
      <c r="B119" s="7" t="inlineStr">
        <is>
          <t>Bayer 04 Leverkusen</t>
        </is>
      </c>
      <c r="C119" s="7" t="inlineStr">
        <is>
          <t>Jennifer Weber</t>
        </is>
      </c>
      <c r="D119" s="7" t="inlineStr">
        <is>
          <t>Geschäftsstelle Nachwuchsabteilung (NLZ)</t>
        </is>
      </c>
      <c r="E119" s="7" t="inlineStr">
        <is>
          <t>Biuro akademii, testy tylko przez e-mail</t>
        </is>
      </c>
      <c r="F119" s="7" t="inlineStr">
        <is>
          <t>Jennifer.Weber@bayer04.de</t>
        </is>
      </c>
      <c r="G119" s="7" t="inlineStr">
        <is>
          <t>tel. 0214 866 03 43</t>
        </is>
      </c>
      <c r="H119" s="8" t="inlineStr">
        <is>
          <t>https://www.bayer04.de/en-us/page/youth/trial-sessions</t>
        </is>
      </c>
      <c r="I119" s="9" t="n">
        <v>1</v>
      </c>
      <c r="J119" s="7" t="inlineStr">
        <is>
          <t>Do potwierdzenia</t>
        </is>
      </c>
      <c r="K119" s="7" t="inlineStr">
        <is>
          <t>CIES: top 10 dochodów ze sprzedaży wychowanków (10 lat). Mail z organigramu NLZ – sprawdzić aktualność</t>
        </is>
      </c>
    </row>
    <row r="120">
      <c r="A120" s="7" t="inlineStr">
        <is>
          <t>Chorwacja</t>
        </is>
      </c>
      <c r="B120" s="7" t="inlineStr">
        <is>
          <t>GNK Dinamo Zagreb</t>
        </is>
      </c>
      <c r="C120" s="7" t="inlineStr">
        <is>
          <t>—</t>
        </is>
      </c>
      <c r="D120" s="7" t="inlineStr">
        <is>
          <t>Dinamo Akademija</t>
        </is>
      </c>
      <c r="E120" s="7" t="inlineStr">
        <is>
          <t>Akademia</t>
        </is>
      </c>
      <c r="F120" s="7" t="inlineStr"/>
      <c r="G120" s="7" t="inlineStr">
        <is>
          <t>dinamo@gnkdinamo.hr; 01 238 6111</t>
        </is>
      </c>
      <c r="H120" s="8" t="inlineStr">
        <is>
          <t>https://gnkdinamo.hr/hr/info/kontakt</t>
        </is>
      </c>
      <c r="I120" s="9" t="n">
        <v>1</v>
      </c>
      <c r="J120" s="7" t="inlineStr">
        <is>
          <t>Częściowo – brak maila osoby</t>
        </is>
      </c>
      <c r="K120" s="7" t="inlineStr">
        <is>
          <t>Czołowa akademia sprzedażowa regionu (poza top 10 CIES 2026)</t>
        </is>
      </c>
    </row>
    <row r="121">
      <c r="A121" s="7" t="inlineStr">
        <is>
          <t>Serbia</t>
        </is>
      </c>
      <c r="B121" s="7" t="inlineStr">
        <is>
          <t>FK Partizan</t>
        </is>
      </c>
      <c r="C121" s="7" t="inlineStr">
        <is>
          <t>—</t>
        </is>
      </c>
      <c r="D121" s="7" t="inlineStr">
        <is>
          <t>Omladinska škola</t>
        </is>
      </c>
      <c r="E121" s="7" t="inlineStr">
        <is>
          <t>Akademia</t>
        </is>
      </c>
      <c r="F121" s="7" t="inlineStr"/>
      <c r="G121" s="8" t="inlineStr">
        <is>
          <t>https://partizan.rs/en</t>
        </is>
      </c>
      <c r="H121" s="8" t="inlineStr">
        <is>
          <t>http://www.en.partizan.rs/omladinska-skola-fudbala/</t>
        </is>
      </c>
      <c r="I121" s="9" t="n">
        <v>2</v>
      </c>
      <c r="J121" s="7" t="inlineStr">
        <is>
          <t>Częściowo – brak maila osoby</t>
        </is>
      </c>
      <c r="K121" s="7" t="inlineStr">
        <is>
          <t>CIES: wcześniej nr 1 rocznego rankingu akademii (przed Ajaxem)</t>
        </is>
      </c>
    </row>
    <row r="122">
      <c r="A122" s="7" t="inlineStr">
        <is>
          <t>Serbia</t>
        </is>
      </c>
      <c r="B122" s="7" t="inlineStr">
        <is>
          <t>FK Crvena zvezda</t>
        </is>
      </c>
      <c r="C122" s="7" t="inlineStr">
        <is>
          <t>—</t>
        </is>
      </c>
      <c r="D122" s="7" t="inlineStr">
        <is>
          <t>Omladinska škola</t>
        </is>
      </c>
      <c r="E122" s="7" t="inlineStr">
        <is>
          <t>Akademia</t>
        </is>
      </c>
      <c r="F122" s="7" t="inlineStr"/>
      <c r="G122" s="8" t="inlineStr">
        <is>
          <t>https://www.crvenazvezdafk.com/en/klub/kontakt-i-lokacija</t>
        </is>
      </c>
      <c r="H122" s="8" t="inlineStr">
        <is>
          <t>https://www.crvenazvezdafk.com/en/vesti-kategorija/omladinska-shkola</t>
        </is>
      </c>
      <c r="I122" s="9" t="n">
        <v>2</v>
      </c>
      <c r="J122" s="7" t="inlineStr">
        <is>
          <t>Częściowo – brak maila osoby</t>
        </is>
      </c>
      <c r="K122" s="7" t="inlineStr">
        <is>
          <t>Uznana akademia (poza top 10 CIES)</t>
        </is>
      </c>
    </row>
    <row r="123">
      <c r="A123" s="7" t="inlineStr">
        <is>
          <t>Ukraina</t>
        </is>
      </c>
      <c r="B123" s="7" t="inlineStr">
        <is>
          <t>Dynamo Kijów</t>
        </is>
      </c>
      <c r="C123" s="7" t="inlineStr">
        <is>
          <t>—</t>
        </is>
      </c>
      <c r="D123" s="7" t="inlineStr">
        <is>
          <t>Dział scoutingu</t>
        </is>
      </c>
      <c r="E123" s="7" t="inlineStr">
        <is>
          <t>Scouting</t>
        </is>
      </c>
      <c r="F123" s="7" t="inlineStr"/>
      <c r="G123" s="7" t="inlineStr">
        <is>
          <t>tel. +38 044 278 06 28</t>
        </is>
      </c>
      <c r="H123" s="8" t="inlineStr">
        <is>
          <t>https://fcdynamo.com/en/pages/contacts</t>
        </is>
      </c>
      <c r="I123" s="9" t="n">
        <v>3</v>
      </c>
      <c r="J123" s="7" t="inlineStr">
        <is>
          <t>Częściowo – brak maila osoby</t>
        </is>
      </c>
      <c r="K123" s="7" t="inlineStr">
        <is>
          <t>CIES 2026: 3. miejsce w Europie – 72 wychowanków w 31 ligach UEFA. Uwaga: sytuacja wojenna</t>
        </is>
      </c>
    </row>
    <row r="124">
      <c r="A124" s="7" t="inlineStr">
        <is>
          <t>Anglia</t>
        </is>
      </c>
      <c r="B124" s="7" t="inlineStr">
        <is>
          <t>Manchester United</t>
        </is>
      </c>
      <c r="C124" s="7" t="inlineStr">
        <is>
          <t>David Harrison</t>
        </is>
      </c>
      <c r="D124" s="7" t="inlineStr">
        <is>
          <t>Head of Academy Recruitment</t>
        </is>
      </c>
      <c r="E124" s="7" t="inlineStr">
        <is>
          <t>Rekrutacja akademii</t>
        </is>
      </c>
      <c r="F124" s="7" t="inlineStr"/>
      <c r="G124" s="7" t="inlineStr">
        <is>
          <t>Carrington Training Complex, Birch Road, Manchester M31 4BH</t>
        </is>
      </c>
      <c r="H124" s="8" t="inlineStr">
        <is>
          <t>https://www.manutd.com/en/help/faqs/club-information2</t>
        </is>
      </c>
      <c r="I124" s="9" t="n">
        <v>3</v>
      </c>
      <c r="J124" s="7" t="inlineStr">
        <is>
          <t>Do potwierdzenia</t>
        </is>
      </c>
      <c r="K124" s="7" t="inlineStr">
        <is>
          <t>CIES MR99: 103 wychowanków w Big-5 (20 lat), top 10 wg minut. Nazwisko ze źródła nieoficjalnego – potwierdzić</t>
        </is>
      </c>
    </row>
  </sheetData>
  <autoFilter ref="A1:K124"/>
  <conditionalFormatting sqref="A2:K124">
    <cfRule type="expression" priority="1" dxfId="0">
      <formula>$J2="Zweryfikowany"</formula>
    </cfRule>
    <cfRule type="expression" priority="2" dxfId="1">
      <formula>$J2="Do potwierdzenia"</formula>
    </cfRule>
  </conditionalFormatting>
  <conditionalFormatting sqref="I2:I124">
    <cfRule type="expression" priority="3" dxfId="2">
      <formula>$I2=1</formula>
    </cfRule>
  </conditionalFormatting>
  <dataValidations count="1">
    <dataValidation sqref="J2:J124" showDropDown="0" showInputMessage="0" showErrorMessage="0" allowBlank="1" type="list">
      <formula1>"Zweryfikowany,Częściowo – brak maila osoby,Do potwierdzenia"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G43" r:id="rId42"/>
    <hyperlink xmlns:r="http://schemas.openxmlformats.org/officeDocument/2006/relationships" ref="H43" r:id="rId43"/>
    <hyperlink xmlns:r="http://schemas.openxmlformats.org/officeDocument/2006/relationships" ref="G44" r:id="rId44"/>
    <hyperlink xmlns:r="http://schemas.openxmlformats.org/officeDocument/2006/relationships" ref="H44" r:id="rId45"/>
    <hyperlink xmlns:r="http://schemas.openxmlformats.org/officeDocument/2006/relationships" ref="H45" r:id="rId46"/>
    <hyperlink xmlns:r="http://schemas.openxmlformats.org/officeDocument/2006/relationships" ref="H46" r:id="rId47"/>
    <hyperlink xmlns:r="http://schemas.openxmlformats.org/officeDocument/2006/relationships" ref="H47" r:id="rId48"/>
    <hyperlink xmlns:r="http://schemas.openxmlformats.org/officeDocument/2006/relationships" ref="H48" r:id="rId49"/>
    <hyperlink xmlns:r="http://schemas.openxmlformats.org/officeDocument/2006/relationships" ref="H49" r:id="rId50"/>
    <hyperlink xmlns:r="http://schemas.openxmlformats.org/officeDocument/2006/relationships" ref="H50" r:id="rId51"/>
    <hyperlink xmlns:r="http://schemas.openxmlformats.org/officeDocument/2006/relationships" ref="H51" r:id="rId52"/>
    <hyperlink xmlns:r="http://schemas.openxmlformats.org/officeDocument/2006/relationships" ref="H52" r:id="rId53"/>
    <hyperlink xmlns:r="http://schemas.openxmlformats.org/officeDocument/2006/relationships" ref="G53" r:id="rId54"/>
    <hyperlink xmlns:r="http://schemas.openxmlformats.org/officeDocument/2006/relationships" ref="H53" r:id="rId55"/>
    <hyperlink xmlns:r="http://schemas.openxmlformats.org/officeDocument/2006/relationships" ref="H54" r:id="rId56"/>
    <hyperlink xmlns:r="http://schemas.openxmlformats.org/officeDocument/2006/relationships" ref="H55" r:id="rId57"/>
    <hyperlink xmlns:r="http://schemas.openxmlformats.org/officeDocument/2006/relationships" ref="H56" r:id="rId58"/>
    <hyperlink xmlns:r="http://schemas.openxmlformats.org/officeDocument/2006/relationships" ref="G57" r:id="rId59"/>
    <hyperlink xmlns:r="http://schemas.openxmlformats.org/officeDocument/2006/relationships" ref="H57" r:id="rId60"/>
    <hyperlink xmlns:r="http://schemas.openxmlformats.org/officeDocument/2006/relationships" ref="G58" r:id="rId61"/>
    <hyperlink xmlns:r="http://schemas.openxmlformats.org/officeDocument/2006/relationships" ref="H58" r:id="rId62"/>
    <hyperlink xmlns:r="http://schemas.openxmlformats.org/officeDocument/2006/relationships" ref="G59" r:id="rId63"/>
    <hyperlink xmlns:r="http://schemas.openxmlformats.org/officeDocument/2006/relationships" ref="H59" r:id="rId64"/>
    <hyperlink xmlns:r="http://schemas.openxmlformats.org/officeDocument/2006/relationships" ref="H60" r:id="rId65"/>
    <hyperlink xmlns:r="http://schemas.openxmlformats.org/officeDocument/2006/relationships" ref="H61" r:id="rId66"/>
    <hyperlink xmlns:r="http://schemas.openxmlformats.org/officeDocument/2006/relationships" ref="H62" r:id="rId67"/>
    <hyperlink xmlns:r="http://schemas.openxmlformats.org/officeDocument/2006/relationships" ref="H63" r:id="rId68"/>
    <hyperlink xmlns:r="http://schemas.openxmlformats.org/officeDocument/2006/relationships" ref="H64" r:id="rId69"/>
    <hyperlink xmlns:r="http://schemas.openxmlformats.org/officeDocument/2006/relationships" ref="H65" r:id="rId70"/>
    <hyperlink xmlns:r="http://schemas.openxmlformats.org/officeDocument/2006/relationships" ref="H66" r:id="rId71"/>
    <hyperlink xmlns:r="http://schemas.openxmlformats.org/officeDocument/2006/relationships" ref="H67" r:id="rId72"/>
    <hyperlink xmlns:r="http://schemas.openxmlformats.org/officeDocument/2006/relationships" ref="H68" r:id="rId73"/>
    <hyperlink xmlns:r="http://schemas.openxmlformats.org/officeDocument/2006/relationships" ref="H69" r:id="rId74"/>
    <hyperlink xmlns:r="http://schemas.openxmlformats.org/officeDocument/2006/relationships" ref="H70" r:id="rId75"/>
    <hyperlink xmlns:r="http://schemas.openxmlformats.org/officeDocument/2006/relationships" ref="G71" r:id="rId76"/>
    <hyperlink xmlns:r="http://schemas.openxmlformats.org/officeDocument/2006/relationships" ref="H71" r:id="rId77"/>
    <hyperlink xmlns:r="http://schemas.openxmlformats.org/officeDocument/2006/relationships" ref="H72" r:id="rId78"/>
    <hyperlink xmlns:r="http://schemas.openxmlformats.org/officeDocument/2006/relationships" ref="H73" r:id="rId79"/>
    <hyperlink xmlns:r="http://schemas.openxmlformats.org/officeDocument/2006/relationships" ref="H74" r:id="rId80"/>
    <hyperlink xmlns:r="http://schemas.openxmlformats.org/officeDocument/2006/relationships" ref="H75" r:id="rId81"/>
    <hyperlink xmlns:r="http://schemas.openxmlformats.org/officeDocument/2006/relationships" ref="H76" r:id="rId82"/>
    <hyperlink xmlns:r="http://schemas.openxmlformats.org/officeDocument/2006/relationships" ref="H77" r:id="rId83"/>
    <hyperlink xmlns:r="http://schemas.openxmlformats.org/officeDocument/2006/relationships" ref="H78" r:id="rId84"/>
    <hyperlink xmlns:r="http://schemas.openxmlformats.org/officeDocument/2006/relationships" ref="H79" r:id="rId85"/>
    <hyperlink xmlns:r="http://schemas.openxmlformats.org/officeDocument/2006/relationships" ref="H80" r:id="rId86"/>
    <hyperlink xmlns:r="http://schemas.openxmlformats.org/officeDocument/2006/relationships" ref="H81" r:id="rId87"/>
    <hyperlink xmlns:r="http://schemas.openxmlformats.org/officeDocument/2006/relationships" ref="G82" r:id="rId88"/>
    <hyperlink xmlns:r="http://schemas.openxmlformats.org/officeDocument/2006/relationships" ref="H82" r:id="rId89"/>
    <hyperlink xmlns:r="http://schemas.openxmlformats.org/officeDocument/2006/relationships" ref="H83" r:id="rId90"/>
    <hyperlink xmlns:r="http://schemas.openxmlformats.org/officeDocument/2006/relationships" ref="H84" r:id="rId91"/>
    <hyperlink xmlns:r="http://schemas.openxmlformats.org/officeDocument/2006/relationships" ref="H85" r:id="rId92"/>
    <hyperlink xmlns:r="http://schemas.openxmlformats.org/officeDocument/2006/relationships" ref="H86" r:id="rId93"/>
    <hyperlink xmlns:r="http://schemas.openxmlformats.org/officeDocument/2006/relationships" ref="H87" r:id="rId94"/>
    <hyperlink xmlns:r="http://schemas.openxmlformats.org/officeDocument/2006/relationships" ref="H88" r:id="rId95"/>
    <hyperlink xmlns:r="http://schemas.openxmlformats.org/officeDocument/2006/relationships" ref="H89" r:id="rId96"/>
    <hyperlink xmlns:r="http://schemas.openxmlformats.org/officeDocument/2006/relationships" ref="H90" r:id="rId97"/>
    <hyperlink xmlns:r="http://schemas.openxmlformats.org/officeDocument/2006/relationships" ref="H91" r:id="rId98"/>
    <hyperlink xmlns:r="http://schemas.openxmlformats.org/officeDocument/2006/relationships" ref="G92" r:id="rId99"/>
    <hyperlink xmlns:r="http://schemas.openxmlformats.org/officeDocument/2006/relationships" ref="H92" r:id="rId100"/>
    <hyperlink xmlns:r="http://schemas.openxmlformats.org/officeDocument/2006/relationships" ref="H93" r:id="rId101"/>
    <hyperlink xmlns:r="http://schemas.openxmlformats.org/officeDocument/2006/relationships" ref="H94" r:id="rId102"/>
    <hyperlink xmlns:r="http://schemas.openxmlformats.org/officeDocument/2006/relationships" ref="H95" r:id="rId103"/>
    <hyperlink xmlns:r="http://schemas.openxmlformats.org/officeDocument/2006/relationships" ref="H96" r:id="rId104"/>
    <hyperlink xmlns:r="http://schemas.openxmlformats.org/officeDocument/2006/relationships" ref="H97" r:id="rId105"/>
    <hyperlink xmlns:r="http://schemas.openxmlformats.org/officeDocument/2006/relationships" ref="H98" r:id="rId106"/>
    <hyperlink xmlns:r="http://schemas.openxmlformats.org/officeDocument/2006/relationships" ref="H99" r:id="rId107"/>
    <hyperlink xmlns:r="http://schemas.openxmlformats.org/officeDocument/2006/relationships" ref="H100" r:id="rId108"/>
    <hyperlink xmlns:r="http://schemas.openxmlformats.org/officeDocument/2006/relationships" ref="H101" r:id="rId109"/>
    <hyperlink xmlns:r="http://schemas.openxmlformats.org/officeDocument/2006/relationships" ref="H102" r:id="rId110"/>
    <hyperlink xmlns:r="http://schemas.openxmlformats.org/officeDocument/2006/relationships" ref="H103" r:id="rId111"/>
    <hyperlink xmlns:r="http://schemas.openxmlformats.org/officeDocument/2006/relationships" ref="H104" r:id="rId112"/>
    <hyperlink xmlns:r="http://schemas.openxmlformats.org/officeDocument/2006/relationships" ref="H105" r:id="rId113"/>
    <hyperlink xmlns:r="http://schemas.openxmlformats.org/officeDocument/2006/relationships" ref="H106" r:id="rId114"/>
    <hyperlink xmlns:r="http://schemas.openxmlformats.org/officeDocument/2006/relationships" ref="G107" r:id="rId115"/>
    <hyperlink xmlns:r="http://schemas.openxmlformats.org/officeDocument/2006/relationships" ref="H107" r:id="rId116"/>
    <hyperlink xmlns:r="http://schemas.openxmlformats.org/officeDocument/2006/relationships" ref="H108" r:id="rId117"/>
    <hyperlink xmlns:r="http://schemas.openxmlformats.org/officeDocument/2006/relationships" ref="G109" r:id="rId118"/>
    <hyperlink xmlns:r="http://schemas.openxmlformats.org/officeDocument/2006/relationships" ref="H109" r:id="rId119"/>
    <hyperlink xmlns:r="http://schemas.openxmlformats.org/officeDocument/2006/relationships" ref="H110" r:id="rId120"/>
    <hyperlink xmlns:r="http://schemas.openxmlformats.org/officeDocument/2006/relationships" ref="H111" r:id="rId121"/>
    <hyperlink xmlns:r="http://schemas.openxmlformats.org/officeDocument/2006/relationships" ref="G112" r:id="rId122"/>
    <hyperlink xmlns:r="http://schemas.openxmlformats.org/officeDocument/2006/relationships" ref="H112" r:id="rId123"/>
    <hyperlink xmlns:r="http://schemas.openxmlformats.org/officeDocument/2006/relationships" ref="H113" r:id="rId124"/>
    <hyperlink xmlns:r="http://schemas.openxmlformats.org/officeDocument/2006/relationships" ref="H114" r:id="rId125"/>
    <hyperlink xmlns:r="http://schemas.openxmlformats.org/officeDocument/2006/relationships" ref="G115" r:id="rId126"/>
    <hyperlink xmlns:r="http://schemas.openxmlformats.org/officeDocument/2006/relationships" ref="H115" r:id="rId127"/>
    <hyperlink xmlns:r="http://schemas.openxmlformats.org/officeDocument/2006/relationships" ref="H116" r:id="rId128"/>
    <hyperlink xmlns:r="http://schemas.openxmlformats.org/officeDocument/2006/relationships" ref="H117" r:id="rId129"/>
    <hyperlink xmlns:r="http://schemas.openxmlformats.org/officeDocument/2006/relationships" ref="H118" r:id="rId130"/>
    <hyperlink xmlns:r="http://schemas.openxmlformats.org/officeDocument/2006/relationships" ref="H119" r:id="rId131"/>
    <hyperlink xmlns:r="http://schemas.openxmlformats.org/officeDocument/2006/relationships" ref="H120" r:id="rId132"/>
    <hyperlink xmlns:r="http://schemas.openxmlformats.org/officeDocument/2006/relationships" ref="G121" r:id="rId133"/>
    <hyperlink xmlns:r="http://schemas.openxmlformats.org/officeDocument/2006/relationships" ref="H121" r:id="rId134"/>
    <hyperlink xmlns:r="http://schemas.openxmlformats.org/officeDocument/2006/relationships" ref="G122" r:id="rId135"/>
    <hyperlink xmlns:r="http://schemas.openxmlformats.org/officeDocument/2006/relationships" ref="H122" r:id="rId136"/>
    <hyperlink xmlns:r="http://schemas.openxmlformats.org/officeDocument/2006/relationships" ref="H123" r:id="rId137"/>
    <hyperlink xmlns:r="http://schemas.openxmlformats.org/officeDocument/2006/relationships" ref="H124" r:id="rId1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40" customWidth="1" min="4" max="4"/>
    <col width="20" customWidth="1" min="5" max="5"/>
    <col width="48" customWidth="1" min="6" max="6"/>
    <col width="24" customWidth="1" min="7" max="7"/>
    <col width="40" customWidth="1" min="8" max="8"/>
  </cols>
  <sheetData>
    <row r="1" ht="30" customHeight="1">
      <c r="A1" s="6" t="inlineStr">
        <is>
          <t>Klub</t>
        </is>
      </c>
      <c r="B1" s="6" t="inlineStr">
        <is>
          <t>Osoba</t>
        </is>
      </c>
      <c r="C1" s="6" t="inlineStr">
        <is>
          <t>Stanowisko</t>
        </is>
      </c>
      <c r="D1" s="6" t="inlineStr">
        <is>
          <t>Obszar działania</t>
        </is>
      </c>
      <c r="E1" s="6" t="inlineStr">
        <is>
          <t>E-mail osoby</t>
        </is>
      </c>
      <c r="F1" s="6" t="inlineStr">
        <is>
          <t>Źródło</t>
        </is>
      </c>
      <c r="G1" s="6" t="inlineStr">
        <is>
          <t>Status weryfikacji</t>
        </is>
      </c>
      <c r="H1" s="6" t="inlineStr">
        <is>
          <t>Uwagi</t>
        </is>
      </c>
    </row>
    <row r="2">
      <c r="A2" s="7" t="inlineStr">
        <is>
          <t>Beşiktaş JK</t>
        </is>
      </c>
      <c r="B2" s="7" t="inlineStr">
        <is>
          <t>Serdar Topraktepe</t>
        </is>
      </c>
      <c r="C2" s="7" t="inlineStr">
        <is>
          <t>Akademi Direktörü (Academy Director)</t>
        </is>
      </c>
      <c r="D2" s="7" t="inlineStr">
        <is>
          <t>Kierowanie akademią</t>
        </is>
      </c>
      <c r="E2" s="7" t="inlineStr"/>
      <c r="F2" s="8" t="inlineStr">
        <is>
          <t>https://bjk.com.tr/tr/spor-okullari/idari_ve_teknik_kadro</t>
        </is>
      </c>
      <c r="G2" s="7" t="inlineStr">
        <is>
          <t>Częściowo – brak maila osoby</t>
        </is>
      </c>
      <c r="H2" s="7" t="inlineStr">
        <is>
          <t>Stanowisko wg oficjalnej listy kadry</t>
        </is>
      </c>
    </row>
    <row r="3">
      <c r="A3" s="7" t="inlineStr">
        <is>
          <t>Beşiktaş JK</t>
        </is>
      </c>
      <c r="B3" s="7" t="inlineStr">
        <is>
          <t>Toygun Batallı</t>
        </is>
      </c>
      <c r="C3" s="7" t="inlineStr">
        <is>
          <t>Altyapı Gelişimden Sorumlu Yönetici</t>
        </is>
      </c>
      <c r="D3" s="7" t="inlineStr">
        <is>
          <t>Rozwój młodzieży</t>
        </is>
      </c>
      <c r="E3" s="7" t="inlineStr"/>
      <c r="F3" s="8" t="inlineStr">
        <is>
          <t>https://bjk.com.tr/tr/spor-okullari/idari_ve_teknik_kadro</t>
        </is>
      </c>
      <c r="G3" s="7" t="inlineStr">
        <is>
          <t>Częściowo – brak maila osoby</t>
        </is>
      </c>
      <c r="H3" s="7" t="inlineStr"/>
    </row>
    <row r="4">
      <c r="A4" s="7" t="inlineStr">
        <is>
          <t>Beşiktaş JK</t>
        </is>
      </c>
      <c r="B4" s="7" t="inlineStr">
        <is>
          <t>Onur Kerpikçi</t>
        </is>
      </c>
      <c r="C4" s="7" t="inlineStr">
        <is>
          <t>Akademi Scout / Spor Okulları Denetim Müdürü</t>
        </is>
      </c>
      <c r="D4" s="7" t="inlineStr">
        <is>
          <t>Scouting akademii, szkółki</t>
        </is>
      </c>
      <c r="E4" s="7" t="inlineStr"/>
      <c r="F4" s="8" t="inlineStr">
        <is>
          <t>https://bjk.com.tr/tr/spor-okullari/idari_ve_teknik_kadro</t>
        </is>
      </c>
      <c r="G4" s="7" t="inlineStr">
        <is>
          <t>Częściowo – brak maila osoby</t>
        </is>
      </c>
      <c r="H4" s="7" t="inlineStr"/>
    </row>
    <row r="5">
      <c r="A5" s="7" t="inlineStr">
        <is>
          <t>Beşiktaş JK</t>
        </is>
      </c>
      <c r="B5" s="7" t="inlineStr">
        <is>
          <t>—</t>
        </is>
      </c>
      <c r="C5" s="7" t="inlineStr">
        <is>
          <t>Beşiktaş Futbol Akademi – kontakt ogólny</t>
        </is>
      </c>
      <c r="D5" s="7" t="inlineStr">
        <is>
          <t>Adres: Vişnezade Mah. Kadırgalar Cad. No:1, Tüpraş Stadyumu, 34357 Beşiktaş/İstanbul</t>
        </is>
      </c>
      <c r="E5" s="7" t="inlineStr"/>
      <c r="F5" s="8" t="inlineStr">
        <is>
          <t>https://bjk.com.tr/tr/cms/iletisim/14/</t>
        </is>
      </c>
      <c r="G5" s="7" t="inlineStr">
        <is>
          <t>Częściowo – brak maila osoby</t>
        </is>
      </c>
      <c r="H5" s="7" t="inlineStr">
        <is>
          <t>Zespół akademii wymieniony na stronie kontaktowej klubu</t>
        </is>
      </c>
    </row>
  </sheetData>
  <autoFilter ref="A1:H5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40" customWidth="1" min="3" max="3"/>
    <col width="14" customWidth="1" min="4" max="4"/>
    <col width="26" customWidth="1" min="5" max="5"/>
    <col width="36" customWidth="1" min="6" max="6"/>
  </cols>
  <sheetData>
    <row r="1" ht="30" customHeight="1">
      <c r="A1" s="6" t="inlineStr">
        <is>
          <t>Ranking CIES</t>
        </is>
      </c>
      <c r="B1" s="6" t="inlineStr">
        <is>
          <t>Miejsce</t>
        </is>
      </c>
      <c r="C1" s="6" t="inlineStr">
        <is>
          <t>Klub</t>
        </is>
      </c>
      <c r="D1" s="6" t="inlineStr">
        <is>
          <t>Kraj</t>
        </is>
      </c>
      <c r="E1" s="6" t="inlineStr">
        <is>
          <t>Wynik</t>
        </is>
      </c>
      <c r="F1" s="6" t="inlineStr">
        <is>
          <t>Status w bazie</t>
        </is>
      </c>
    </row>
    <row r="2">
      <c r="A2" s="7" t="inlineStr">
        <is>
          <t>Wychowankowie w ligach Big-5 (WP529, 2026)</t>
        </is>
      </c>
      <c r="B2" s="7" t="n">
        <v>1</v>
      </c>
      <c r="C2" s="7" t="inlineStr">
        <is>
          <t>FC Barcelona</t>
        </is>
      </c>
      <c r="D2" s="7" t="inlineStr">
        <is>
          <t>Hiszpania</t>
        </is>
      </c>
      <c r="E2" s="7" t="inlineStr">
        <is>
          <t>40 zawodników</t>
        </is>
      </c>
      <c r="F2" s="7" t="inlineStr">
        <is>
          <t>Poza zasięgiem – tylko informacyjnie</t>
        </is>
      </c>
    </row>
    <row r="3">
      <c r="A3" s="7" t="inlineStr">
        <is>
          <t>Wychowankowie w ligach Big-5 (WP529, 2026)</t>
        </is>
      </c>
      <c r="B3" s="7" t="n">
        <v>2</v>
      </c>
      <c r="C3" s="7" t="inlineStr">
        <is>
          <t>Real Madrid</t>
        </is>
      </c>
      <c r="D3" s="7" t="inlineStr">
        <is>
          <t>Hiszpania</t>
        </is>
      </c>
      <c r="E3" s="7" t="inlineStr">
        <is>
          <t>35 zawodników</t>
        </is>
      </c>
      <c r="F3" s="7" t="inlineStr">
        <is>
          <t>Poza zasięgiem – tylko informacyjnie</t>
        </is>
      </c>
    </row>
    <row r="4">
      <c r="A4" s="7" t="inlineStr">
        <is>
          <t>Wychowankowie w ligach Big-5 (WP529, 2026)</t>
        </is>
      </c>
      <c r="B4" s="7" t="n">
        <v>3</v>
      </c>
      <c r="C4" s="7" t="inlineStr">
        <is>
          <t>Paris Saint-Germain</t>
        </is>
      </c>
      <c r="D4" s="7" t="inlineStr">
        <is>
          <t>Francja</t>
        </is>
      </c>
      <c r="E4" s="7" t="inlineStr">
        <is>
          <t>31 zawodników</t>
        </is>
      </c>
      <c r="F4" s="7" t="inlineStr">
        <is>
          <t>Poza zasięgiem – tylko informacyjnie</t>
        </is>
      </c>
    </row>
    <row r="5">
      <c r="A5" s="7" t="inlineStr">
        <is>
          <t>Wychowankowie w ligach Big-5 (WP529, 2026)</t>
        </is>
      </c>
      <c r="B5" s="7" t="n">
        <v>4</v>
      </c>
      <c r="C5" s="7" t="inlineStr">
        <is>
          <t>Stade Rennais</t>
        </is>
      </c>
      <c r="D5" s="7" t="inlineStr">
        <is>
          <t>Francja</t>
        </is>
      </c>
      <c r="E5" s="7" t="inlineStr">
        <is>
          <t>29 zawodników</t>
        </is>
      </c>
      <c r="F5" s="7" t="inlineStr">
        <is>
          <t>W arkuszu Kontakty</t>
        </is>
      </c>
    </row>
    <row r="6">
      <c r="A6" s="7" t="inlineStr">
        <is>
          <t>Wychowankowie w ligach Big-5 (WP529, 2026)</t>
        </is>
      </c>
      <c r="B6" s="7" t="n">
        <v>5</v>
      </c>
      <c r="C6" s="7" t="inlineStr">
        <is>
          <t>AFC Ajax</t>
        </is>
      </c>
      <c r="D6" s="7" t="inlineStr">
        <is>
          <t>Holandia</t>
        </is>
      </c>
      <c r="E6" s="7" t="inlineStr">
        <is>
          <t>27 zawodników (1. spoza Big-5)</t>
        </is>
      </c>
      <c r="F6" s="7" t="inlineStr">
        <is>
          <t>W arkuszu Kontakty</t>
        </is>
      </c>
    </row>
    <row r="7">
      <c r="A7" s="7" t="inlineStr">
        <is>
          <t>Wychowankowie w ligach Big-5 (WP529, 2026)</t>
        </is>
      </c>
      <c r="B7" s="7" t="inlineStr">
        <is>
          <t>6–10</t>
        </is>
      </c>
      <c r="C7" s="7" t="inlineStr">
        <is>
          <t>Chelsea, Real Sociedad, Man. United, Man. City, Arsenal</t>
        </is>
      </c>
      <c r="D7" s="7" t="inlineStr">
        <is>
          <t>Anglia/Hiszpania</t>
        </is>
      </c>
      <c r="E7" s="7" t="inlineStr">
        <is>
          <t>—</t>
        </is>
      </c>
      <c r="F7" s="7" t="inlineStr">
        <is>
          <t>Real Sociedad w arkuszu Kontakty</t>
        </is>
      </c>
    </row>
    <row r="8">
      <c r="A8" s="7" t="inlineStr">
        <is>
          <t>Wychowankowie w 31 ligach UEFA (2026)</t>
        </is>
      </c>
      <c r="B8" s="7" t="n">
        <v>1</v>
      </c>
      <c r="C8" s="7" t="inlineStr">
        <is>
          <t>AFC Ajax</t>
        </is>
      </c>
      <c r="D8" s="7" t="inlineStr">
        <is>
          <t>Holandia</t>
        </is>
      </c>
      <c r="E8" s="7" t="inlineStr">
        <is>
          <t>85 zawodników</t>
        </is>
      </c>
      <c r="F8" s="7" t="inlineStr">
        <is>
          <t>W arkuszu Kontakty</t>
        </is>
      </c>
    </row>
    <row r="9">
      <c r="A9" s="7" t="inlineStr">
        <is>
          <t>Wychowankowie w 31 ligach UEFA (2026)</t>
        </is>
      </c>
      <c r="B9" s="7" t="n">
        <v>2</v>
      </c>
      <c r="C9" s="7" t="inlineStr">
        <is>
          <t>SL Benfica</t>
        </is>
      </c>
      <c r="D9" s="7" t="inlineStr">
        <is>
          <t>Portugalia</t>
        </is>
      </c>
      <c r="E9" s="7" t="inlineStr">
        <is>
          <t>73 zawodników</t>
        </is>
      </c>
      <c r="F9" s="7" t="inlineStr">
        <is>
          <t>W arkuszu Kontakty</t>
        </is>
      </c>
    </row>
    <row r="10">
      <c r="A10" s="7" t="inlineStr">
        <is>
          <t>Wychowankowie w 31 ligach UEFA (2026)</t>
        </is>
      </c>
      <c r="B10" s="7" t="n">
        <v>3</v>
      </c>
      <c r="C10" s="7" t="inlineStr">
        <is>
          <t>Dynamo Kijów</t>
        </is>
      </c>
      <c r="D10" s="7" t="inlineStr">
        <is>
          <t>Ukraina</t>
        </is>
      </c>
      <c r="E10" s="7" t="inlineStr">
        <is>
          <t>72 zawodników</t>
        </is>
      </c>
      <c r="F10" s="7" t="inlineStr">
        <is>
          <t>W arkuszu Kontakty</t>
        </is>
      </c>
    </row>
    <row r="11">
      <c r="A11" s="7" t="inlineStr">
        <is>
          <t>Training Index (ważony poziomem)</t>
        </is>
      </c>
      <c r="B11" s="7" t="n">
        <v>3</v>
      </c>
      <c r="C11" s="7" t="inlineStr">
        <is>
          <t>Sporting CP</t>
        </is>
      </c>
      <c r="D11" s="7" t="inlineStr">
        <is>
          <t>Portugalia</t>
        </is>
      </c>
      <c r="E11" s="7" t="inlineStr">
        <is>
          <t>3. miejsce w obu tabelach</t>
        </is>
      </c>
      <c r="F11" s="7" t="inlineStr">
        <is>
          <t>W arkuszu Kontakty</t>
        </is>
      </c>
    </row>
    <row r="12">
      <c r="A12" s="7" t="inlineStr">
        <is>
          <t>Przychody ze sprzedaży wychowanków – 10 lat (WP540, 2026)</t>
        </is>
      </c>
      <c r="B12" s="7" t="n">
        <v>1</v>
      </c>
      <c r="C12" s="7" t="inlineStr">
        <is>
          <t>SL Benfica</t>
        </is>
      </c>
      <c r="D12" s="7" t="inlineStr">
        <is>
          <t>Portugalia</t>
        </is>
      </c>
      <c r="E12" s="7" t="inlineStr">
        <is>
          <t>589 mln €</t>
        </is>
      </c>
      <c r="F12" s="7" t="inlineStr">
        <is>
          <t>W arkuszu Kontakty</t>
        </is>
      </c>
    </row>
    <row r="13">
      <c r="A13" s="7" t="inlineStr">
        <is>
          <t>Przychody ze sprzedaży wychowanków – 10 lat (WP540, 2026)</t>
        </is>
      </c>
      <c r="B13" s="7" t="n">
        <v>2</v>
      </c>
      <c r="C13" s="7" t="inlineStr">
        <is>
          <t>AFC Ajax</t>
        </is>
      </c>
      <c r="D13" s="7" t="inlineStr">
        <is>
          <t>Holandia</t>
        </is>
      </c>
      <c r="E13" s="7" t="inlineStr">
        <is>
          <t>454 mln €</t>
        </is>
      </c>
      <c r="F13" s="7" t="inlineStr">
        <is>
          <t>W arkuszu Kontakty</t>
        </is>
      </c>
    </row>
    <row r="14">
      <c r="A14" s="7" t="inlineStr">
        <is>
          <t>Przychody ze sprzedaży wychowanków – 10 lat (WP540, 2026)</t>
        </is>
      </c>
      <c r="B14" s="7" t="n">
        <v>3</v>
      </c>
      <c r="C14" s="7" t="inlineStr">
        <is>
          <t>Chelsea FC</t>
        </is>
      </c>
      <c r="D14" s="7" t="inlineStr">
        <is>
          <t>Anglia</t>
        </is>
      </c>
      <c r="E14" s="7" t="inlineStr">
        <is>
          <t>442 mln €</t>
        </is>
      </c>
      <c r="F14" s="7" t="inlineStr">
        <is>
          <t>Poza zasięgiem – tylko informacyjnie</t>
        </is>
      </c>
    </row>
    <row r="15">
      <c r="A15" s="7" t="inlineStr">
        <is>
          <t>Przychody ze sprzedaży wychowanków – 10 lat (WP540, 2026)</t>
        </is>
      </c>
      <c r="B15" s="7" t="inlineStr">
        <is>
          <t>4–10</t>
        </is>
      </c>
      <c r="C15" s="7" t="inlineStr">
        <is>
          <t>Olympique Lyonnais, AS Monaco, Sporting CP, Man. City, Real Madrid, Palmeiras, Bayer Leverkusen</t>
        </is>
      </c>
      <c r="D15" s="7" t="inlineStr">
        <is>
          <t>różne</t>
        </is>
      </c>
      <c r="E15" s="7" t="inlineStr">
        <is>
          <t>—</t>
        </is>
      </c>
      <c r="F15" s="7" t="inlineStr">
        <is>
          <t>Lyon, Monaco, Sporting, Leverkusen w arkuszu Kontakty</t>
        </is>
      </c>
    </row>
    <row r="16">
      <c r="A16" s="7" t="inlineStr">
        <is>
          <t>Przychody ze sprzedaży wychowanków – 5 lat (WP540, 2026)</t>
        </is>
      </c>
      <c r="B16" s="7" t="n">
        <v>1</v>
      </c>
      <c r="C16" s="7" t="inlineStr">
        <is>
          <t>Chelsea FC</t>
        </is>
      </c>
      <c r="D16" s="7" t="inlineStr">
        <is>
          <t>Anglia</t>
        </is>
      </c>
      <c r="E16" s="7" t="inlineStr">
        <is>
          <t>366 mln €</t>
        </is>
      </c>
      <c r="F16" s="7" t="inlineStr">
        <is>
          <t>Poza zasięgiem – tylko informacyjnie</t>
        </is>
      </c>
    </row>
    <row r="17">
      <c r="A17" s="7" t="inlineStr">
        <is>
          <t>Przychody ze sprzedaży wychowanków – 5 lat (WP540, 2026)</t>
        </is>
      </c>
      <c r="B17" s="7" t="n">
        <v>2</v>
      </c>
      <c r="C17" s="7" t="inlineStr">
        <is>
          <t>Manchester City</t>
        </is>
      </c>
      <c r="D17" s="7" t="inlineStr">
        <is>
          <t>Anglia</t>
        </is>
      </c>
      <c r="E17" s="7" t="inlineStr">
        <is>
          <t>318 mln €</t>
        </is>
      </c>
      <c r="F17" s="7" t="inlineStr">
        <is>
          <t>Poza zasięgiem – tylko informacyjnie</t>
        </is>
      </c>
    </row>
    <row r="18">
      <c r="A18" s="7" t="inlineStr">
        <is>
          <t>MR99 (II 2025): wychowankowie w Big-5, 20 lat</t>
        </is>
      </c>
      <c r="B18" s="7" t="n">
        <v>1</v>
      </c>
      <c r="C18" s="7" t="inlineStr">
        <is>
          <t>Real Madrid</t>
        </is>
      </c>
      <c r="D18" s="7" t="inlineStr">
        <is>
          <t>Hiszpania</t>
        </is>
      </c>
      <c r="E18" s="7" t="inlineStr">
        <is>
          <t>166 zawodników</t>
        </is>
      </c>
      <c r="F18" s="7" t="inlineStr">
        <is>
          <t>W arkuszu Kontakty</t>
        </is>
      </c>
    </row>
    <row r="19">
      <c r="A19" s="7" t="inlineStr">
        <is>
          <t>MR99 (II 2025): wychowankowie w Big-5, 20 lat</t>
        </is>
      </c>
      <c r="B19" s="7" t="n">
        <v>2</v>
      </c>
      <c r="C19" s="7" t="inlineStr">
        <is>
          <t>FC Barcelona</t>
        </is>
      </c>
      <c r="D19" s="7" t="inlineStr">
        <is>
          <t>Hiszpania</t>
        </is>
      </c>
      <c r="E19" s="7" t="inlineStr">
        <is>
          <t>156</t>
        </is>
      </c>
      <c r="F19" s="7" t="inlineStr">
        <is>
          <t>W arkuszu Kontakty</t>
        </is>
      </c>
    </row>
    <row r="20">
      <c r="A20" s="7" t="inlineStr">
        <is>
          <t>MR99 (II 2025): wychowankowie w Big-5, 20 lat</t>
        </is>
      </c>
      <c r="B20" s="7" t="n">
        <v>3</v>
      </c>
      <c r="C20" s="7" t="inlineStr">
        <is>
          <t>Paris Saint-Germain</t>
        </is>
      </c>
      <c r="D20" s="7" t="inlineStr">
        <is>
          <t>Francja</t>
        </is>
      </c>
      <c r="E20" s="7" t="inlineStr">
        <is>
          <t>111</t>
        </is>
      </c>
      <c r="F20" s="7" t="inlineStr">
        <is>
          <t>W arkuszu Kontakty</t>
        </is>
      </c>
    </row>
    <row r="21">
      <c r="A21" s="7" t="inlineStr">
        <is>
          <t>MR99 (II 2025): wychowankowie w Big-5, 20 lat</t>
        </is>
      </c>
      <c r="B21" s="7" t="inlineStr">
        <is>
          <t>4–5</t>
        </is>
      </c>
      <c r="C21" s="7" t="inlineStr">
        <is>
          <t>Olympique Lyonnais, Manchester United</t>
        </is>
      </c>
      <c r="D21" s="7" t="inlineStr">
        <is>
          <t>Francja/Anglia</t>
        </is>
      </c>
      <c r="E21" s="7" t="inlineStr">
        <is>
          <t>po 103</t>
        </is>
      </c>
      <c r="F21" s="7" t="inlineStr">
        <is>
          <t>W arkuszu Kontakty</t>
        </is>
      </c>
    </row>
    <row r="22">
      <c r="A22" s="7" t="inlineStr">
        <is>
          <t>MR99 (II 2025): wychowankowie w Big-5, 20 lat</t>
        </is>
      </c>
      <c r="B22" s="7" t="inlineStr">
        <is>
          <t>6–7</t>
        </is>
      </c>
      <c r="C22" s="7" t="inlineStr">
        <is>
          <t>Stade Rennais, Atalanta</t>
        </is>
      </c>
      <c r="D22" s="7" t="inlineStr">
        <is>
          <t>Francja/Włochy</t>
        </is>
      </c>
      <c r="E22" s="7" t="inlineStr">
        <is>
          <t>po 94</t>
        </is>
      </c>
      <c r="F22" s="7" t="inlineStr">
        <is>
          <t>W arkuszu Kontakty</t>
        </is>
      </c>
    </row>
    <row r="23">
      <c r="A23" s="7" t="inlineStr">
        <is>
          <t>MR99 (II 2025): minuty wychowanków w Big-5, 20 lat</t>
        </is>
      </c>
      <c r="B23" s="7" t="inlineStr">
        <is>
          <t>top 10</t>
        </is>
      </c>
      <c r="C23" s="7" t="inlineStr">
        <is>
          <t>Real Madrid (1), Barcelona (2), Lyon, PSG, Rennes, Man. United, Athletic Club (7), Atalanta, Real Sociedad (9), Valencia (10)</t>
        </is>
      </c>
      <c r="D23" s="7" t="inlineStr">
        <is>
          <t>różne</t>
        </is>
      </c>
      <c r="E23" s="7" t="inlineStr">
        <is>
          <t>—</t>
        </is>
      </c>
      <c r="F23" s="7" t="inlineStr">
        <is>
          <t>Wszystkie w arkuszu Kontakty</t>
        </is>
      </c>
    </row>
    <row r="24">
      <c r="A24" s="7" t="inlineStr">
        <is>
          <t>Wychowankowie w 55 ligach (VI 2025)</t>
        </is>
      </c>
      <c r="B24" s="7" t="inlineStr">
        <is>
          <t>1–3</t>
        </is>
      </c>
      <c r="C24" s="7" t="inlineStr">
        <is>
          <t>Real Madrid 103, Benfica 102, Barcelona 94</t>
        </is>
      </c>
      <c r="D24" s="7" t="inlineStr">
        <is>
          <t>różne</t>
        </is>
      </c>
      <c r="E24" s="7" t="inlineStr">
        <is>
          <t>—</t>
        </is>
      </c>
      <c r="F24" s="7" t="inlineStr">
        <is>
          <t>W arkuszu Kontakty</t>
        </is>
      </c>
    </row>
    <row r="25">
      <c r="A25" s="7" t="inlineStr">
        <is>
          <t>Wychowankowie w 55 ligach (VI 2025)</t>
        </is>
      </c>
      <c r="B25" s="7" t="inlineStr">
        <is>
          <t>4–10</t>
        </is>
      </c>
      <c r="C25" s="7" t="inlineStr">
        <is>
          <t>Ajax, Sporting CP, River Plate, Defensor, Crvena zvezda, Dinamo Zagreb, Boca Juniors</t>
        </is>
      </c>
      <c r="D25" s="7" t="inlineStr">
        <is>
          <t>różne</t>
        </is>
      </c>
      <c r="E25" s="7" t="inlineStr">
        <is>
          <t>—</t>
        </is>
      </c>
      <c r="F25" s="7" t="inlineStr">
        <is>
          <t>Europejskie kluby w arkuszu Kontakty</t>
        </is>
      </c>
    </row>
    <row r="27">
      <c r="A27" s="10" t="inlineStr">
        <is>
          <t>Źródła: CIES Football Observatory – Weekly Post 529 (training clubs), Weekly Post 540 (most profitable academies), 2026; Monthly Report 99 (II 2025). football-observatory.com</t>
        </is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2026-09-27T09:45:29Z</dcterms:created>
  <dcterms:modified xsi:type="dcterms:W3CDTF">2026-09-27T09:45:29Z</dcterms:modified>
</cp:coreProperties>
</file>