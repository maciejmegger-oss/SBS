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Kontakty" sheetId="2" state="visible" r:id="rId2"/>
    <sheet name="Beşiktaş – korekta" sheetId="3" state="visible" r:id="rId3"/>
  </sheets>
  <definedNames>
    <definedName name="_xlnm._FilterDatabase" localSheetId="1" hidden="1">'Kontakty'!$A$1:$K$49</definedName>
    <definedName name="_xlnm._FilterDatabase" localSheetId="2" hidden="1">'Beşiktaş – korekta'!$A$1:$H$5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aikfotboll.se/kontakta-oss/kontakt-med-lagen" TargetMode="External" Id="rId1" /><Relationship Type="http://schemas.openxmlformats.org/officeDocument/2006/relationships/hyperlink" Target="https://www.aikfotboll.se/kontakta-oss/kontakt-med-lagen" TargetMode="External" Id="rId2" /><Relationship Type="http://schemas.openxmlformats.org/officeDocument/2006/relationships/hyperlink" Target="https://www.aikfotboll.se/artiklar-och-nyheter/260130-alexander-milosevic-ny-scout-och-rekryteringsansvarig-for-akademin" TargetMode="External" Id="rId3" /><Relationship Type="http://schemas.openxmlformats.org/officeDocument/2006/relationships/hyperlink" Target="https://ifkgoteborg.se/om-ifk-goteborg/kontakt/" TargetMode="External" Id="rId4" /><Relationship Type="http://schemas.openxmlformats.org/officeDocument/2006/relationships/hyperlink" Target="https://www.hammarbyfotboll.se/kontakt/" TargetMode="External" Id="rId5" /><Relationship Type="http://schemas.openxmlformats.org/officeDocument/2006/relationships/hyperlink" Target="https://www.hammarbyfotboll.se/kontakt/" TargetMode="External" Id="rId6" /><Relationship Type="http://schemas.openxmlformats.org/officeDocument/2006/relationships/hyperlink" Target="https://www.dif.se/om-dif/kontakt" TargetMode="External" Id="rId7" /><Relationship Type="http://schemas.openxmlformats.org/officeDocument/2006/relationships/hyperlink" Target="https://bkhacken.se/sida/pojkakademi-ledare" TargetMode="External" Id="rId8" /><Relationship Type="http://schemas.openxmlformats.org/officeDocument/2006/relationships/hyperlink" Target="https://www.mff.se/om-malmo-ff/kontakt/" TargetMode="External" Id="rId9" /><Relationship Type="http://schemas.openxmlformats.org/officeDocument/2006/relationships/hyperlink" Target="https://elfsborg.se/for-foretag/kontakta-oss/" TargetMode="External" Id="rId10" /><Relationship Type="http://schemas.openxmlformats.org/officeDocument/2006/relationships/hyperlink" Target="https://fcn.dk/akademi/kontakt" TargetMode="External" Id="rId11" /><Relationship Type="http://schemas.openxmlformats.org/officeDocument/2006/relationships/hyperlink" Target="https://fcn.dk/akademi/kontakt" TargetMode="External" Id="rId12" /><Relationship Type="http://schemas.openxmlformats.org/officeDocument/2006/relationships/hyperlink" Target="https://www.fck.dk/en/content/fck-talent-department-staff-and-officials" TargetMode="External" Id="rId13" /><Relationship Type="http://schemas.openxmlformats.org/officeDocument/2006/relationships/hyperlink" Target="https://www.fck.dk/indhold/procedurer-rekruttering-i-talentafdelingen" TargetMode="External" Id="rId14" /><Relationship Type="http://schemas.openxmlformats.org/officeDocument/2006/relationships/hyperlink" Target="https://www.fcm.dk/drengeakademiet/" TargetMode="External" Id="rId15" /><Relationship Type="http://schemas.openxmlformats.org/officeDocument/2006/relationships/hyperlink" Target="https://fcn.dk/akademi/kontakt" TargetMode="External" Id="rId16" /><Relationship Type="http://schemas.openxmlformats.org/officeDocument/2006/relationships/hyperlink" Target="https://www.fck.dk/indhold/procedurer-rekruttering-i-talentafdelingen" TargetMode="External" Id="rId17" /><Relationship Type="http://schemas.openxmlformats.org/officeDocument/2006/relationships/hyperlink" Target="https://scouting.brondby.com/" TargetMode="External" Id="rId18" /><Relationship Type="http://schemas.openxmlformats.org/officeDocument/2006/relationships/hyperlink" Target="https://fcn.dk/akademi/kontakt" TargetMode="External" Id="rId19" /><Relationship Type="http://schemas.openxmlformats.org/officeDocument/2006/relationships/hyperlink" Target="https://www.fck.dk/indhold/procedurer-rekruttering-i-talentafdelingen" TargetMode="External" Id="rId20" /><Relationship Type="http://schemas.openxmlformats.org/officeDocument/2006/relationships/hyperlink" Target="https://www.fck.dk/indhold/procedurer-rekruttering-i-talentafdelingen" TargetMode="External" Id="rId21" /><Relationship Type="http://schemas.openxmlformats.org/officeDocument/2006/relationships/hyperlink" Target="https://www.parmacalcio1913.com/en/main-news/club-statement-new-football-department-structure-confirmed/" TargetMode="External" Id="rId22" /><Relationship Type="http://schemas.openxmlformats.org/officeDocument/2006/relationships/hyperlink" Target="https://www.parmacalcio1913.com/en/main-news/club-statement-new-football-department-structure-confirmed/" TargetMode="External" Id="rId23" /><Relationship Type="http://schemas.openxmlformats.org/officeDocument/2006/relationships/hyperlink" Target="https://www.parmacalcio1913.com/en/main-news/club-statement-new-football-department-structure-confirmed/" TargetMode="External" Id="rId24" /><Relationship Type="http://schemas.openxmlformats.org/officeDocument/2006/relationships/hyperlink" Target="https://www.udinese.it/academy/contacts" TargetMode="External" Id="rId25" /><Relationship Type="http://schemas.openxmlformats.org/officeDocument/2006/relationships/hyperlink" Target="https://www.calcioatalanta.it/category/news/approfondimenti/primavera-settore-giovanile-atalanta/" TargetMode="External" Id="rId26" /><Relationship Type="http://schemas.openxmlformats.org/officeDocument/2006/relationships/hyperlink" Target="https://www.empolifc.it/organigramma" TargetMode="External" Id="rId27" /><Relationship Type="http://schemas.openxmlformats.org/officeDocument/2006/relationships/hyperlink" Target="https://www.parmacalcio1913.com/en/main-news/club-statement-new-football-department-structure-confirmed/" TargetMode="External" Id="rId28" /><Relationship Type="http://schemas.openxmlformats.org/officeDocument/2006/relationships/hyperlink" Target="https://www.rclens.fr/fr/pros-cellule-de-recrutement" TargetMode="External" Id="rId29" /><Relationship Type="http://schemas.openxmlformats.org/officeDocument/2006/relationships/hyperlink" Target="https://www.ol.fr/fr/academy/centre-de-formation/recrutement" TargetMode="External" Id="rId30" /><Relationship Type="http://schemas.openxmlformats.org/officeDocument/2006/relationships/hyperlink" Target="https://fr.wikipedia.org/wiki/Centre_de_formation_du_Stade_rennais_FC" TargetMode="External" Id="rId31" /><Relationship Type="http://schemas.openxmlformats.org/officeDocument/2006/relationships/hyperlink" Target="https://www.losc.fr/contact" TargetMode="External" Id="rId32" /><Relationship Type="http://schemas.openxmlformats.org/officeDocument/2006/relationships/hyperlink" Target="https://www.losc.fr/formation" TargetMode="External" Id="rId33" /><Relationship Type="http://schemas.openxmlformats.org/officeDocument/2006/relationships/hyperlink" Target="https://www.kaagent.be/nl/jeugd/jeugdscouting" TargetMode="External" Id="rId34" /><Relationship Type="http://schemas.openxmlformats.org/officeDocument/2006/relationships/hyperlink" Target="https://www.krcgenk.be/en/contact" TargetMode="External" Id="rId35" /><Relationship Type="http://schemas.openxmlformats.org/officeDocument/2006/relationships/hyperlink" Target="https://www.krcgenk.be/en/contact" TargetMode="External" Id="rId36" /><Relationship Type="http://schemas.openxmlformats.org/officeDocument/2006/relationships/hyperlink" Target="https://cerclebrugge.be/en/teams/youth/jeugdacademie-scouting" TargetMode="External" Id="rId37" /><Relationship Type="http://schemas.openxmlformats.org/officeDocument/2006/relationships/hyperlink" Target="https://www.rsca.be/en/faqs/neerpede-academy" TargetMode="External" Id="rId38" /><Relationship Type="http://schemas.openxmlformats.org/officeDocument/2006/relationships/hyperlink" Target="https://www.clubbrugge.be/en/nxt-contact" TargetMode="External" Id="rId39" /><Relationship Type="http://schemas.openxmlformats.org/officeDocument/2006/relationships/hyperlink" Target="https://www.clubbrugge.be/en/nxt-contact" TargetMode="External" Id="rId40" /><Relationship Type="http://schemas.openxmlformats.org/officeDocument/2006/relationships/hyperlink" Target="https://www.lask.at/en/m/ansprechpersonen" TargetMode="External" Id="rId41" /><Relationship Type="http://schemas.openxmlformats.org/officeDocument/2006/relationships/hyperlink" Target="http://www.akastmk-sturm.at/aufnahme.htm" TargetMode="External" Id="rId42" /><Relationship Type="http://schemas.openxmlformats.org/officeDocument/2006/relationships/hyperlink" Target="https://www.skrapid.at/verein/gremien/sport-management/" TargetMode="External" Id="rId43" /><Relationship Type="http://schemas.openxmlformats.org/officeDocument/2006/relationships/hyperlink" Target="https://www.redbullsalzburg.at/de/jungbullen/organisation-scouting.html" TargetMode="External" Id="rId44" /><Relationship Type="http://schemas.openxmlformats.org/officeDocument/2006/relationships/hyperlink" Target="https://sksturm.at/en/c/geschaeftsstelle" TargetMode="External" Id="rId45" /><Relationship Type="http://schemas.openxmlformats.org/officeDocument/2006/relationships/hyperlink" Target="https://sksturm.at/en/c/geschaeftsstelle" TargetMode="External" Id="rId46" /><Relationship Type="http://schemas.openxmlformats.org/officeDocument/2006/relationships/hyperlink" Target="https://sksturm.at/en/c/geschaeftsstelle" TargetMode="External" Id="rId47" /><Relationship Type="http://schemas.openxmlformats.org/officeDocument/2006/relationships/hyperlink" Target="https://www.fcz.ch/pages/leitung-und-staff" TargetMode="External" Id="rId48" /><Relationship Type="http://schemas.openxmlformats.org/officeDocument/2006/relationships/hyperlink" Target="https://www.nachwuchs-campus.ch/impressum" TargetMode="External" Id="rId49" /><Relationship Type="http://schemas.openxmlformats.org/officeDocument/2006/relationships/hyperlink" Target="https://www.bscyb.ch/nachwuchsfoerderung" TargetMode="External" Id="rId50" /><Relationship Type="http://schemas.openxmlformats.org/officeDocument/2006/relationships/hyperlink" Target="https://www.gcz.ch/kontakt/" TargetMode="External" Id="rId51" /></Relationships>
</file>

<file path=xl/worksheets/_rels/sheet3.xml.rels><Relationships xmlns="http://schemas.openxmlformats.org/package/2006/relationships"><Relationship Type="http://schemas.openxmlformats.org/officeDocument/2006/relationships/hyperlink" Target="https://bjk.com.tr/tr/spor-okullari/idari_ve_teknik_kadro" TargetMode="External" Id="rId1" /><Relationship Type="http://schemas.openxmlformats.org/officeDocument/2006/relationships/hyperlink" Target="https://bjk.com.tr/tr/spor-okullari/idari_ve_teknik_kadro" TargetMode="External" Id="rId2" /><Relationship Type="http://schemas.openxmlformats.org/officeDocument/2006/relationships/hyperlink" Target="https://bjk.com.tr/tr/spor-okullari/idari_ve_teknik_kadro" TargetMode="External" Id="rId3" /><Relationship Type="http://schemas.openxmlformats.org/officeDocument/2006/relationships/hyperlink" Target="https://bjk.com.tr/tr/cms/iletisim/14/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Kraj</t>
        </is>
      </c>
      <c r="B1" s="1" t="inlineStr">
        <is>
          <t>Liczba kontaktów</t>
        </is>
      </c>
      <c r="C1" s="1" t="inlineStr">
        <is>
          <t>Z mailem osoby</t>
        </is>
      </c>
      <c r="D1" s="1" t="inlineStr">
        <is>
          <t>Priorytet 1</t>
        </is>
      </c>
      <c r="E1" s="1" t="inlineStr">
        <is>
          <t>Zweryfikowane</t>
        </is>
      </c>
    </row>
    <row r="2">
      <c r="A2" s="2" t="inlineStr">
        <is>
          <t>Szwecja</t>
        </is>
      </c>
      <c r="B2" s="2">
        <f>COUNTIF(Kontakty!$A$2:$A$49,A2)</f>
        <v/>
      </c>
      <c r="C2" s="2">
        <f>COUNTIFS(Kontakty!$A$2:$A$49,A2,Kontakty!$F$2:$F$49,"*@*")</f>
        <v/>
      </c>
      <c r="D2" s="2">
        <f>COUNTIFS(Kontakty!$A$2:$A$49,A2,Kontakty!$I$2:$I$49,1)</f>
        <v/>
      </c>
      <c r="E2" s="2">
        <f>COUNTIFS(Kontakty!$A$2:$A$49,A2,Kontakty!$J$2:$J$49,"Zweryfikowany")</f>
        <v/>
      </c>
    </row>
    <row r="3">
      <c r="A3" s="2" t="inlineStr">
        <is>
          <t>Dania</t>
        </is>
      </c>
      <c r="B3" s="2">
        <f>COUNTIF(Kontakty!$A$2:$A$49,A3)</f>
        <v/>
      </c>
      <c r="C3" s="2">
        <f>COUNTIFS(Kontakty!$A$2:$A$49,A3,Kontakty!$F$2:$F$49,"*@*")</f>
        <v/>
      </c>
      <c r="D3" s="2">
        <f>COUNTIFS(Kontakty!$A$2:$A$49,A3,Kontakty!$I$2:$I$49,1)</f>
        <v/>
      </c>
      <c r="E3" s="2">
        <f>COUNTIFS(Kontakty!$A$2:$A$49,A3,Kontakty!$J$2:$J$49,"Zweryfikowany")</f>
        <v/>
      </c>
    </row>
    <row r="4">
      <c r="A4" s="2" t="inlineStr">
        <is>
          <t>Włochy</t>
        </is>
      </c>
      <c r="B4" s="2">
        <f>COUNTIF(Kontakty!$A$2:$A$49,A4)</f>
        <v/>
      </c>
      <c r="C4" s="2">
        <f>COUNTIFS(Kontakty!$A$2:$A$49,A4,Kontakty!$F$2:$F$49,"*@*")</f>
        <v/>
      </c>
      <c r="D4" s="2">
        <f>COUNTIFS(Kontakty!$A$2:$A$49,A4,Kontakty!$I$2:$I$49,1)</f>
        <v/>
      </c>
      <c r="E4" s="2">
        <f>COUNTIFS(Kontakty!$A$2:$A$49,A4,Kontakty!$J$2:$J$49,"Zweryfikowany")</f>
        <v/>
      </c>
    </row>
    <row r="5">
      <c r="A5" s="2" t="inlineStr">
        <is>
          <t>Francja</t>
        </is>
      </c>
      <c r="B5" s="2">
        <f>COUNTIF(Kontakty!$A$2:$A$49,A5)</f>
        <v/>
      </c>
      <c r="C5" s="2">
        <f>COUNTIFS(Kontakty!$A$2:$A$49,A5,Kontakty!$F$2:$F$49,"*@*")</f>
        <v/>
      </c>
      <c r="D5" s="2">
        <f>COUNTIFS(Kontakty!$A$2:$A$49,A5,Kontakty!$I$2:$I$49,1)</f>
        <v/>
      </c>
      <c r="E5" s="2">
        <f>COUNTIFS(Kontakty!$A$2:$A$49,A5,Kontakty!$J$2:$J$49,"Zweryfikowany")</f>
        <v/>
      </c>
    </row>
    <row r="6">
      <c r="A6" s="2" t="inlineStr">
        <is>
          <t>Belgia</t>
        </is>
      </c>
      <c r="B6" s="2">
        <f>COUNTIF(Kontakty!$A$2:$A$49,A6)</f>
        <v/>
      </c>
      <c r="C6" s="2">
        <f>COUNTIFS(Kontakty!$A$2:$A$49,A6,Kontakty!$F$2:$F$49,"*@*")</f>
        <v/>
      </c>
      <c r="D6" s="2">
        <f>COUNTIFS(Kontakty!$A$2:$A$49,A6,Kontakty!$I$2:$I$49,1)</f>
        <v/>
      </c>
      <c r="E6" s="2">
        <f>COUNTIFS(Kontakty!$A$2:$A$49,A6,Kontakty!$J$2:$J$49,"Zweryfikowany")</f>
        <v/>
      </c>
    </row>
    <row r="7">
      <c r="A7" s="2" t="inlineStr">
        <is>
          <t>Austria</t>
        </is>
      </c>
      <c r="B7" s="2">
        <f>COUNTIF(Kontakty!$A$2:$A$49,A7)</f>
        <v/>
      </c>
      <c r="C7" s="2">
        <f>COUNTIFS(Kontakty!$A$2:$A$49,A7,Kontakty!$F$2:$F$49,"*@*")</f>
        <v/>
      </c>
      <c r="D7" s="2">
        <f>COUNTIFS(Kontakty!$A$2:$A$49,A7,Kontakty!$I$2:$I$49,1)</f>
        <v/>
      </c>
      <c r="E7" s="2">
        <f>COUNTIFS(Kontakty!$A$2:$A$49,A7,Kontakty!$J$2:$J$49,"Zweryfikowany")</f>
        <v/>
      </c>
    </row>
    <row r="8">
      <c r="A8" s="2" t="inlineStr">
        <is>
          <t>Szwajcaria</t>
        </is>
      </c>
      <c r="B8" s="2">
        <f>COUNTIF(Kontakty!$A$2:$A$49,A8)</f>
        <v/>
      </c>
      <c r="C8" s="2">
        <f>COUNTIFS(Kontakty!$A$2:$A$49,A8,Kontakty!$F$2:$F$49,"*@*")</f>
        <v/>
      </c>
      <c r="D8" s="2">
        <f>COUNTIFS(Kontakty!$A$2:$A$49,A8,Kontakty!$I$2:$I$49,1)</f>
        <v/>
      </c>
      <c r="E8" s="2">
        <f>COUNTIFS(Kontakty!$A$2:$A$49,A8,Kontakty!$J$2:$J$49,"Zweryfikowany")</f>
        <v/>
      </c>
    </row>
    <row r="9">
      <c r="A9" s="3" t="inlineStr">
        <is>
          <t>RAZEM</t>
        </is>
      </c>
      <c r="B9" s="3">
        <f>SUM(B2:B8)</f>
        <v/>
      </c>
      <c r="C9" s="3">
        <f>SUM(C2:C8)</f>
        <v/>
      </c>
      <c r="D9" s="3">
        <f>SUM(D2:D8)</f>
        <v/>
      </c>
      <c r="E9" s="3">
        <f>SUM(E2:E8)</f>
        <v/>
      </c>
    </row>
    <row r="12">
      <c r="A12" s="4" t="inlineStr">
        <is>
          <t>Legenda</t>
        </is>
      </c>
    </row>
    <row r="13">
      <c r="A13" s="5" t="inlineStr">
        <is>
          <t>Zweryfikowany – e-mail/kontakt opublikowany na oficjalnej stronie klubu (wiersz na zielono).</t>
        </is>
      </c>
    </row>
    <row r="14">
      <c r="A14" s="5" t="inlineStr">
        <is>
          <t>Częściowo – brak maila osoby – osoba i stanowisko potwierdzone, ale e-mail osoby nie jest publiczny lub jest ukryty przed botami; użyj kontaktu klubu.</t>
        </is>
      </c>
    </row>
    <row r="15">
      <c r="A15" s="5" t="inlineStr">
        <is>
          <t>Do potwierdzenia – dane ze źródła starszego lub nieoficjalnego; potwierdzić przed wysyłką (wiersz na pomarańczowo).</t>
        </is>
      </c>
    </row>
    <row r="16">
      <c r="A16" s="5" t="inlineStr">
        <is>
          <t>Priorytet: 1 = kontaktować w pierwszej kolejności, 3 = niski. Szwecja = kraj priorytetowy.</t>
        </is>
      </c>
    </row>
    <row r="17">
      <c r="A17" s="5" t="inlineStr">
        <is>
          <t>Nie podajemy maili z komercyjnych baz (RocketReach, Lusha itp.) ani maili zgadywanych z formatu domeny.</t>
        </is>
      </c>
    </row>
    <row r="18">
      <c r="A18" s="5" t="inlineStr">
        <is>
          <t>Stan na: 26.09.2026. Stanowiska w klubach zmieniają się często – przed kampanią sprawdź źródło w kolumnie 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2" customWidth="1" min="3" max="3"/>
    <col width="32" customWidth="1" min="4" max="4"/>
    <col width="32" customWidth="1" min="5" max="5"/>
    <col width="34" customWidth="1" min="6" max="6"/>
    <col width="34" customWidth="1" min="7" max="7"/>
    <col width="45" customWidth="1" min="8" max="8"/>
    <col width="10" customWidth="1" min="9" max="9"/>
    <col width="22" customWidth="1" min="10" max="10"/>
    <col width="40" customWidth="1" min="11" max="11"/>
  </cols>
  <sheetData>
    <row r="1" ht="30" customHeight="1">
      <c r="A1" s="6" t="inlineStr">
        <is>
          <t>Kraj</t>
        </is>
      </c>
      <c r="B1" s="6" t="inlineStr">
        <is>
          <t>Klub</t>
        </is>
      </c>
      <c r="C1" s="6" t="inlineStr">
        <is>
          <t>Osoba</t>
        </is>
      </c>
      <c r="D1" s="6" t="inlineStr">
        <is>
          <t>Stanowisko</t>
        </is>
      </c>
      <c r="E1" s="6" t="inlineStr">
        <is>
          <t>Obszar działania</t>
        </is>
      </c>
      <c r="F1" s="6" t="inlineStr">
        <is>
          <t>E-mail osoby (zweryfikowany)</t>
        </is>
      </c>
      <c r="G1" s="6" t="inlineStr">
        <is>
          <t>Oficjalny kontakt klubu</t>
        </is>
      </c>
      <c r="H1" s="6" t="inlineStr">
        <is>
          <t>Źródło</t>
        </is>
      </c>
      <c r="I1" s="6" t="inlineStr">
        <is>
          <t>Priorytet (1–3)</t>
        </is>
      </c>
      <c r="J1" s="6" t="inlineStr">
        <is>
          <t>Status weryfikacji</t>
        </is>
      </c>
      <c r="K1" s="6" t="inlineStr">
        <is>
          <t>Uwagi</t>
        </is>
      </c>
    </row>
    <row r="2">
      <c r="A2" s="7" t="inlineStr">
        <is>
          <t>Szwecja</t>
        </is>
      </c>
      <c r="B2" s="7" t="inlineStr">
        <is>
          <t>AIK</t>
        </is>
      </c>
      <c r="C2" s="7" t="inlineStr">
        <is>
          <t>Miika Takkula</t>
        </is>
      </c>
      <c r="D2" s="7" t="inlineStr">
        <is>
          <t>Head of Recruitment (Rekryteringschef)</t>
        </is>
      </c>
      <c r="E2" s="7" t="inlineStr">
        <is>
          <t>Rekrutacja seniorska, planowanie kadry, transfery</t>
        </is>
      </c>
      <c r="F2" s="7" t="inlineStr">
        <is>
          <t>miika.takkula@aikfotboll.se</t>
        </is>
      </c>
      <c r="G2" s="7" t="inlineStr">
        <is>
          <t>ungdom@aikfotboll.se</t>
        </is>
      </c>
      <c r="H2" s="8" t="inlineStr">
        <is>
          <t>https://www.aikfotboll.se/kontakta-oss/kontakt-med-lagen</t>
        </is>
      </c>
      <c r="I2" s="9" t="n">
        <v>1</v>
      </c>
      <c r="J2" s="7" t="inlineStr">
        <is>
          <t>Zweryfikowany</t>
        </is>
      </c>
      <c r="K2" s="7" t="inlineStr">
        <is>
          <t>Zatrudniony XII 2025</t>
        </is>
      </c>
    </row>
    <row r="3">
      <c r="A3" s="7" t="inlineStr">
        <is>
          <t>Szwecja</t>
        </is>
      </c>
      <c r="B3" s="7" t="inlineStr">
        <is>
          <t>AIK</t>
        </is>
      </c>
      <c r="C3" s="7" t="inlineStr">
        <is>
          <t>Herish Sadi</t>
        </is>
      </c>
      <c r="D3" s="7" t="inlineStr">
        <is>
          <t>Chefsscout (Chief Scout)</t>
        </is>
      </c>
      <c r="E3" s="7" t="inlineStr">
        <is>
          <t>Live-scouting, talenty krajowe, rynek afrykański</t>
        </is>
      </c>
      <c r="F3" s="7" t="inlineStr">
        <is>
          <t>herish.sadi@aikfotboll.se</t>
        </is>
      </c>
      <c r="G3" s="7" t="inlineStr">
        <is>
          <t>ungdom@aikfotboll.se</t>
        </is>
      </c>
      <c r="H3" s="8" t="inlineStr">
        <is>
          <t>https://www.aikfotboll.se/kontakta-oss/kontakt-med-lagen</t>
        </is>
      </c>
      <c r="I3" s="9" t="n">
        <v>1</v>
      </c>
      <c r="J3" s="7" t="inlineStr">
        <is>
          <t>Zweryfikowany</t>
        </is>
      </c>
      <c r="K3" s="7" t="inlineStr"/>
    </row>
    <row r="4">
      <c r="A4" s="7" t="inlineStr">
        <is>
          <t>Szwecja</t>
        </is>
      </c>
      <c r="B4" s="7" t="inlineStr">
        <is>
          <t>AIK</t>
        </is>
      </c>
      <c r="C4" s="7" t="inlineStr">
        <is>
          <t>Alexander Milošević</t>
        </is>
      </c>
      <c r="D4" s="7" t="inlineStr">
        <is>
          <t>Scout &amp; Rekryteringsansvarig, Akademi</t>
        </is>
      </c>
      <c r="E4" s="7" t="inlineStr">
        <is>
          <t>Scouting i rekrutacja do akademii</t>
        </is>
      </c>
      <c r="F4" s="7" t="inlineStr">
        <is>
          <t>alexander.milosevic@aikfotboll.se</t>
        </is>
      </c>
      <c r="G4" s="7" t="inlineStr">
        <is>
          <t>ungdom@aikfotboll.se</t>
        </is>
      </c>
      <c r="H4" s="8" t="inlineStr">
        <is>
          <t>https://www.aikfotboll.se/artiklar-och-nyheter/260130-alexander-milosevic-ny-scout-och-rekryteringsansvarig-for-akademin</t>
        </is>
      </c>
      <c r="I4" s="9" t="n">
        <v>1</v>
      </c>
      <c r="J4" s="7" t="inlineStr">
        <is>
          <t>Zweryfikowany</t>
        </is>
      </c>
      <c r="K4" s="7" t="inlineStr">
        <is>
          <t>Umowa 01.02.2026–31.12.2027</t>
        </is>
      </c>
    </row>
    <row r="5">
      <c r="A5" s="7" t="inlineStr">
        <is>
          <t>Szwecja</t>
        </is>
      </c>
      <c r="B5" s="7" t="inlineStr">
        <is>
          <t>IFK Göteborg</t>
        </is>
      </c>
      <c r="C5" s="7" t="inlineStr">
        <is>
          <t>Jonas Olsson</t>
        </is>
      </c>
      <c r="D5" s="7" t="inlineStr">
        <is>
          <t>Akademichef (Academy Director)</t>
        </is>
      </c>
      <c r="E5" s="7" t="inlineStr">
        <is>
          <t>Akademia</t>
        </is>
      </c>
      <c r="F5" s="7" t="inlineStr">
        <is>
          <t>jonas.olsson@ifkgoteborg.se</t>
        </is>
      </c>
      <c r="G5" s="7" t="inlineStr"/>
      <c r="H5" s="8" t="inlineStr">
        <is>
          <t>https://ifkgoteborg.se/om-ifk-goteborg/kontakt/</t>
        </is>
      </c>
      <c r="I5" s="9" t="n">
        <v>1</v>
      </c>
      <c r="J5" s="7" t="inlineStr">
        <is>
          <t>Zweryfikowany</t>
        </is>
      </c>
      <c r="K5" s="7" t="inlineStr"/>
    </row>
    <row r="6">
      <c r="A6" s="7" t="inlineStr">
        <is>
          <t>Szwecja</t>
        </is>
      </c>
      <c r="B6" s="7" t="inlineStr">
        <is>
          <t>Hammarby IF</t>
        </is>
      </c>
      <c r="C6" s="7" t="inlineStr">
        <is>
          <t>Atilla Börjeson</t>
        </is>
      </c>
      <c r="D6" s="7" t="inlineStr">
        <is>
          <t>Scout- och rekryteringsansvarig, pojkar</t>
        </is>
      </c>
      <c r="E6" s="7" t="inlineStr">
        <is>
          <t>Scouting/rekrutacja akademii (chłopcy)</t>
        </is>
      </c>
      <c r="F6" s="7" t="inlineStr">
        <is>
          <t>atilla.borjeson@hammarbyungdom.se</t>
        </is>
      </c>
      <c r="G6" s="7" t="inlineStr">
        <is>
          <t>08-462 88 10</t>
        </is>
      </c>
      <c r="H6" s="8" t="inlineStr">
        <is>
          <t>https://www.hammarbyfotboll.se/kontakt/</t>
        </is>
      </c>
      <c r="I6" s="9" t="n">
        <v>1</v>
      </c>
      <c r="J6" s="7" t="inlineStr">
        <is>
          <t>Zweryfikowany</t>
        </is>
      </c>
      <c r="K6" s="7" t="inlineStr"/>
    </row>
    <row r="7">
      <c r="A7" s="7" t="inlineStr">
        <is>
          <t>Szwecja</t>
        </is>
      </c>
      <c r="B7" s="7" t="inlineStr">
        <is>
          <t>Hammarby IF</t>
        </is>
      </c>
      <c r="C7" s="7" t="inlineStr">
        <is>
          <t>Mathias Rosengård</t>
        </is>
      </c>
      <c r="D7" s="7" t="inlineStr">
        <is>
          <t>Akademichef HTFF (Hammarby Talang FF)</t>
        </is>
      </c>
      <c r="E7" s="7" t="inlineStr">
        <is>
          <t>Akademia / drużyna rozwojowa</t>
        </is>
      </c>
      <c r="F7" s="7" t="inlineStr">
        <is>
          <t>mathias.rosengard@hammarbyungdom.se</t>
        </is>
      </c>
      <c r="G7" s="7" t="inlineStr">
        <is>
          <t>08-462 88 10</t>
        </is>
      </c>
      <c r="H7" s="8" t="inlineStr">
        <is>
          <t>https://www.hammarbyfotboll.se/kontakt/</t>
        </is>
      </c>
      <c r="I7" s="9" t="n">
        <v>1</v>
      </c>
      <c r="J7" s="7" t="inlineStr">
        <is>
          <t>Zweryfikowany</t>
        </is>
      </c>
      <c r="K7" s="7" t="inlineStr"/>
    </row>
    <row r="8">
      <c r="A8" s="7" t="inlineStr">
        <is>
          <t>Szwecja</t>
        </is>
      </c>
      <c r="B8" s="7" t="inlineStr">
        <is>
          <t>Djurgårdens IF</t>
        </is>
      </c>
      <c r="C8" s="7" t="inlineStr">
        <is>
          <t>(funkcja) Rekrytering P15–19</t>
        </is>
      </c>
      <c r="D8" s="7" t="inlineStr">
        <is>
          <t>Rekrytering P15–P19</t>
        </is>
      </c>
      <c r="E8" s="7" t="inlineStr">
        <is>
          <t>Rekrutacja akademii U15–U19</t>
        </is>
      </c>
      <c r="F8" s="7" t="inlineStr">
        <is>
          <t>ukryty na stronie (ochrona antyspamowa) – skopiuj ze strony</t>
        </is>
      </c>
      <c r="G8" s="7" t="inlineStr">
        <is>
          <t>Djurgårdens Elitfotboll AB, Box 24053, 104 50 Stockholm</t>
        </is>
      </c>
      <c r="H8" s="8" t="inlineStr">
        <is>
          <t>https://www.dif.se/om-dif/kontakt</t>
        </is>
      </c>
      <c r="I8" s="9" t="n">
        <v>1</v>
      </c>
      <c r="J8" s="7" t="inlineStr">
        <is>
          <t>Częściowo – brak maila osoby</t>
        </is>
      </c>
      <c r="K8" s="7" t="inlineStr">
        <is>
          <t>Na stronie także: Akademichef A10-15/PA16-19, Utvecklingschef PA16-19</t>
        </is>
      </c>
    </row>
    <row r="9">
      <c r="A9" s="7" t="inlineStr">
        <is>
          <t>Szwecja</t>
        </is>
      </c>
      <c r="B9" s="7" t="inlineStr">
        <is>
          <t>BK Häcken</t>
        </is>
      </c>
      <c r="C9" s="7" t="inlineStr">
        <is>
          <t>Alfons Petersson</t>
        </is>
      </c>
      <c r="D9" s="7" t="inlineStr">
        <is>
          <t>Scoutingansvarig Akademi/Ungdom</t>
        </is>
      </c>
      <c r="E9" s="7" t="inlineStr">
        <is>
          <t>Scouting akademii</t>
        </is>
      </c>
      <c r="F9" s="7" t="inlineStr">
        <is>
          <t>ukryty na stronie (ochrona antyspamowa) – skopiuj ze strony</t>
        </is>
      </c>
      <c r="G9" s="7" t="inlineStr">
        <is>
          <t>tel. 073-544 94 11; scouttickets@bkhacken.se (akredytacje scoutów)</t>
        </is>
      </c>
      <c r="H9" s="8" t="inlineStr">
        <is>
          <t>https://bkhacken.se/sida/pojkakademi-ledare</t>
        </is>
      </c>
      <c r="I9" s="9" t="n">
        <v>1</v>
      </c>
      <c r="J9" s="7" t="inlineStr">
        <is>
          <t>Częściowo – brak maila osoby</t>
        </is>
      </c>
      <c r="K9" s="7" t="inlineStr"/>
    </row>
    <row r="10">
      <c r="A10" s="7" t="inlineStr">
        <is>
          <t>Szwecja</t>
        </is>
      </c>
      <c r="B10" s="7" t="inlineStr">
        <is>
          <t>Malmö FF</t>
        </is>
      </c>
      <c r="C10" s="7" t="inlineStr">
        <is>
          <t>—</t>
        </is>
      </c>
      <c r="D10" s="7" t="inlineStr">
        <is>
          <t>—</t>
        </is>
      </c>
      <c r="E10" s="7" t="inlineStr">
        <is>
          <t>Kontakt ogólny</t>
        </is>
      </c>
      <c r="F10" s="7" t="inlineStr"/>
      <c r="G10" s="7" t="inlineStr">
        <is>
          <t>info@mff.se</t>
        </is>
      </c>
      <c r="H10" s="8" t="inlineStr">
        <is>
          <t>https://www.mff.se/om-malmo-ff/kontakt/</t>
        </is>
      </c>
      <c r="I10" s="9" t="n">
        <v>2</v>
      </c>
      <c r="J10" s="7" t="inlineStr">
        <is>
          <t>Częściowo – brak maila osoby</t>
        </is>
      </c>
      <c r="K10" s="7" t="inlineStr">
        <is>
          <t>Brak publicznego maila do rekrutacji akademii</t>
        </is>
      </c>
    </row>
    <row r="11">
      <c r="A11" s="7" t="inlineStr">
        <is>
          <t>Szwecja</t>
        </is>
      </c>
      <c r="B11" s="7" t="inlineStr">
        <is>
          <t>IF Elfsborg</t>
        </is>
      </c>
      <c r="C11" s="7" t="inlineStr">
        <is>
          <t>—</t>
        </is>
      </c>
      <c r="D11" s="7" t="inlineStr">
        <is>
          <t>—</t>
        </is>
      </c>
      <c r="E11" s="7" t="inlineStr">
        <is>
          <t>Kontakt ogólny</t>
        </is>
      </c>
      <c r="F11" s="7" t="inlineStr"/>
      <c r="G11" s="7" t="inlineStr">
        <is>
          <t>info@elfsborg.se; 033-13 91 91</t>
        </is>
      </c>
      <c r="H11" s="8" t="inlineStr">
        <is>
          <t>https://elfsborg.se/for-foretag/kontakta-oss/</t>
        </is>
      </c>
      <c r="I11" s="9" t="n">
        <v>2</v>
      </c>
      <c r="J11" s="7" t="inlineStr">
        <is>
          <t>Częściowo – brak maila osoby</t>
        </is>
      </c>
      <c r="K11" s="7" t="inlineStr">
        <is>
          <t>Brak publicznego maila do rekrutacji akademii</t>
        </is>
      </c>
    </row>
    <row r="12">
      <c r="A12" s="7" t="inlineStr">
        <is>
          <t>Dania</t>
        </is>
      </c>
      <c r="B12" s="7" t="inlineStr">
        <is>
          <t>FC Nordsjælland</t>
        </is>
      </c>
      <c r="C12" s="7" t="inlineStr">
        <is>
          <t>Herekol Tanrisever</t>
        </is>
      </c>
      <c r="D12" s="7" t="inlineStr">
        <is>
          <t>Head of Scouting &amp; Recruitment U14–U19</t>
        </is>
      </c>
      <c r="E12" s="7" t="inlineStr">
        <is>
          <t>Scouting/rekrutacja U14–U19 (chłopcy)</t>
        </is>
      </c>
      <c r="F12" s="7" t="inlineStr">
        <is>
          <t>ukryty na stronie (ochrona antyspamowa) – skopiuj ze strony</t>
        </is>
      </c>
      <c r="G12" s="7" t="inlineStr"/>
      <c r="H12" s="8" t="inlineStr">
        <is>
          <t>https://fcn.dk/akademi/kontakt</t>
        </is>
      </c>
      <c r="I12" s="9" t="n">
        <v>1</v>
      </c>
      <c r="J12" s="7" t="inlineStr">
        <is>
          <t>Częściowo – brak maila osoby</t>
        </is>
      </c>
      <c r="K12" s="7" t="inlineStr">
        <is>
          <t>Mail widoczny na stronie, ukryty przed botami</t>
        </is>
      </c>
    </row>
    <row r="13">
      <c r="A13" s="7" t="inlineStr">
        <is>
          <t>Dania</t>
        </is>
      </c>
      <c r="B13" s="7" t="inlineStr">
        <is>
          <t>FC Nordsjælland</t>
        </is>
      </c>
      <c r="C13" s="7" t="inlineStr">
        <is>
          <t>Bertram Pedersen</t>
        </is>
      </c>
      <c r="D13" s="7" t="inlineStr">
        <is>
          <t>Head of Scouting &amp; Recruitment U11–U13</t>
        </is>
      </c>
      <c r="E13" s="7" t="inlineStr">
        <is>
          <t>Scouting/rekrutacja U11–U13 (chłopcy)</t>
        </is>
      </c>
      <c r="F13" s="7" t="inlineStr">
        <is>
          <t>ukryty na stronie (ochrona antyspamowa) – skopiuj ze strony</t>
        </is>
      </c>
      <c r="G13" s="7" t="inlineStr"/>
      <c r="H13" s="8" t="inlineStr">
        <is>
          <t>https://fcn.dk/akademi/kontakt</t>
        </is>
      </c>
      <c r="I13" s="9" t="n">
        <v>1</v>
      </c>
      <c r="J13" s="7" t="inlineStr">
        <is>
          <t>Częściowo – brak maila osoby</t>
        </is>
      </c>
      <c r="K13" s="7" t="inlineStr"/>
    </row>
    <row r="14">
      <c r="A14" s="7" t="inlineStr">
        <is>
          <t>Dania</t>
        </is>
      </c>
      <c r="B14" s="7" t="inlineStr">
        <is>
          <t>F.C. København</t>
        </is>
      </c>
      <c r="C14" s="7" t="inlineStr">
        <is>
          <t>Christian Wilkens</t>
        </is>
      </c>
      <c r="D14" s="7" t="inlineStr">
        <is>
          <t>Head of Recruitment (FCK Talent)</t>
        </is>
      </c>
      <c r="E14" s="7" t="inlineStr">
        <is>
          <t>Rekrutacja akademii (starsze roczniki)</t>
        </is>
      </c>
      <c r="F14" s="7" t="inlineStr"/>
      <c r="G14" s="7" t="inlineStr"/>
      <c r="H14" s="8" t="inlineStr">
        <is>
          <t>https://www.fck.dk/en/content/fck-talent-department-staff-and-officials</t>
        </is>
      </c>
      <c r="I14" s="9" t="n">
        <v>1</v>
      </c>
      <c r="J14" s="7" t="inlineStr">
        <is>
          <t>Częściowo – brak maila osoby</t>
        </is>
      </c>
      <c r="K14" s="7" t="inlineStr">
        <is>
          <t>Zakres roczników do potwierdzenia na stronie (U14–U17 wg strony FCK)</t>
        </is>
      </c>
    </row>
    <row r="15">
      <c r="A15" s="7" t="inlineStr">
        <is>
          <t>Dania</t>
        </is>
      </c>
      <c r="B15" s="7" t="inlineStr">
        <is>
          <t>F.C. København</t>
        </is>
      </c>
      <c r="C15" s="7" t="inlineStr">
        <is>
          <t>Rasmus Anker</t>
        </is>
      </c>
      <c r="D15" s="7" t="inlineStr">
        <is>
          <t>Head Scout &amp; Recruitment Manager U12–U13</t>
        </is>
      </c>
      <c r="E15" s="7" t="inlineStr">
        <is>
          <t>Scouting/rekrutacja U12–U13</t>
        </is>
      </c>
      <c r="F15" s="7" t="inlineStr">
        <is>
          <t>rsa@fck.dk</t>
        </is>
      </c>
      <c r="G15" s="7" t="inlineStr"/>
      <c r="H15" s="8" t="inlineStr">
        <is>
          <t>https://www.fck.dk/indhold/procedurer-rekruttering-i-talentafdelingen</t>
        </is>
      </c>
      <c r="I15" s="9" t="n">
        <v>1</v>
      </c>
      <c r="J15" s="7" t="inlineStr">
        <is>
          <t>Zweryfikowany</t>
        </is>
      </c>
      <c r="K15" s="7" t="inlineStr"/>
    </row>
    <row r="16">
      <c r="A16" s="7" t="inlineStr">
        <is>
          <t>Dania</t>
        </is>
      </c>
      <c r="B16" s="7" t="inlineStr">
        <is>
          <t>FC Midtjylland</t>
        </is>
      </c>
      <c r="C16" s="7" t="inlineStr">
        <is>
          <t>Kristian Kjær</t>
        </is>
      </c>
      <c r="D16" s="7" t="inlineStr">
        <is>
          <t>Director of Recruitment</t>
        </is>
      </c>
      <c r="E16" s="7" t="inlineStr">
        <is>
          <t>Rekrutacja (dział rekrutacji)</t>
        </is>
      </c>
      <c r="F16" s="7" t="inlineStr">
        <is>
          <t>kfk@fcm.dk</t>
        </is>
      </c>
      <c r="G16" s="7" t="inlineStr">
        <is>
          <t>uddannelse@fcm.dk</t>
        </is>
      </c>
      <c r="H16" s="8" t="inlineStr">
        <is>
          <t>https://www.fcm.dk/drengeakademiet/</t>
        </is>
      </c>
      <c r="I16" s="9" t="n">
        <v>1</v>
      </c>
      <c r="J16" s="7" t="inlineStr">
        <is>
          <t>Zweryfikowany</t>
        </is>
      </c>
      <c r="K16" s="7" t="inlineStr">
        <is>
          <t>Head of Academy Recruitment: Mads Agner Veng (mail niepubliczny)</t>
        </is>
      </c>
    </row>
    <row r="17">
      <c r="A17" s="7" t="inlineStr">
        <is>
          <t>Dania</t>
        </is>
      </c>
      <c r="B17" s="7" t="inlineStr">
        <is>
          <t>FC Nordsjælland</t>
        </is>
      </c>
      <c r="C17" s="7" t="inlineStr">
        <is>
          <t>David Poulsen</t>
        </is>
      </c>
      <c r="D17" s="7" t="inlineStr">
        <is>
          <t>Lead Scout U7–U10</t>
        </is>
      </c>
      <c r="E17" s="7" t="inlineStr">
        <is>
          <t>Scouting U7–U10</t>
        </is>
      </c>
      <c r="F17" s="7" t="inlineStr">
        <is>
          <t>ukryty na stronie (ochrona antyspamowa) – skopiuj ze strony</t>
        </is>
      </c>
      <c r="G17" s="7" t="inlineStr"/>
      <c r="H17" s="8" t="inlineStr">
        <is>
          <t>https://fcn.dk/akademi/kontakt</t>
        </is>
      </c>
      <c r="I17" s="9" t="n">
        <v>2</v>
      </c>
      <c r="J17" s="7" t="inlineStr">
        <is>
          <t>Częściowo – brak maila osoby</t>
        </is>
      </c>
      <c r="K17" s="7" t="inlineStr"/>
    </row>
    <row r="18">
      <c r="A18" s="7" t="inlineStr">
        <is>
          <t>Dania</t>
        </is>
      </c>
      <c r="B18" s="7" t="inlineStr">
        <is>
          <t>F.C. København</t>
        </is>
      </c>
      <c r="C18" s="7" t="inlineStr">
        <is>
          <t>Rasmus Hahnemann</t>
        </is>
      </c>
      <c r="D18" s="7" t="inlineStr">
        <is>
          <t>Head Scout &amp; Recruitment Manager U10–U11, ATK+</t>
        </is>
      </c>
      <c r="E18" s="7" t="inlineStr">
        <is>
          <t>Scouting/rekrutacja U10–U11</t>
        </is>
      </c>
      <c r="F18" s="7" t="inlineStr">
        <is>
          <t>raha@fck.dk</t>
        </is>
      </c>
      <c r="G18" s="7" t="inlineStr"/>
      <c r="H18" s="8" t="inlineStr">
        <is>
          <t>https://www.fck.dk/indhold/procedurer-rekruttering-i-talentafdelingen</t>
        </is>
      </c>
      <c r="I18" s="9" t="n">
        <v>2</v>
      </c>
      <c r="J18" s="7" t="inlineStr">
        <is>
          <t>Zweryfikowany</t>
        </is>
      </c>
      <c r="K18" s="7" t="inlineStr"/>
    </row>
    <row r="19">
      <c r="A19" s="7" t="inlineStr">
        <is>
          <t>Dania</t>
        </is>
      </c>
      <c r="B19" s="7" t="inlineStr">
        <is>
          <t>Brøndby IF</t>
        </is>
      </c>
      <c r="C19" s="7" t="inlineStr">
        <is>
          <t>—</t>
        </is>
      </c>
      <c r="D19" s="7" t="inlineStr">
        <is>
          <t>—</t>
        </is>
      </c>
      <c r="E19" s="7" t="inlineStr">
        <is>
          <t>Portal dla scoutów/agentów</t>
        </is>
      </c>
      <c r="F19" s="7" t="inlineStr"/>
      <c r="G19" s="7" t="inlineStr">
        <is>
          <t>scouting.brondby.com; tel. +45 43 63 08 10</t>
        </is>
      </c>
      <c r="H19" s="8" t="inlineStr">
        <is>
          <t>https://scouting.brondby.com/</t>
        </is>
      </c>
      <c r="I19" s="9" t="n">
        <v>2</v>
      </c>
      <c r="J19" s="7" t="inlineStr">
        <is>
          <t>Częściowo – brak maila osoby</t>
        </is>
      </c>
      <c r="K19" s="7" t="inlineStr">
        <is>
          <t>Brak publicznego maila do działu talentów</t>
        </is>
      </c>
    </row>
    <row r="20">
      <c r="A20" s="7" t="inlineStr">
        <is>
          <t>Dania</t>
        </is>
      </c>
      <c r="B20" s="7" t="inlineStr">
        <is>
          <t>FC Nordsjælland</t>
        </is>
      </c>
      <c r="C20" s="7" t="inlineStr">
        <is>
          <t>Henrik Surel</t>
        </is>
      </c>
      <c r="D20" s="7" t="inlineStr">
        <is>
          <t>Emerging Talent Scout U14–U19, Girls</t>
        </is>
      </c>
      <c r="E20" s="7" t="inlineStr">
        <is>
          <t>Scouting dziewcząt U14–U19</t>
        </is>
      </c>
      <c r="F20" s="7" t="inlineStr">
        <is>
          <t>ukryty na stronie (ochrona antyspamowa) – skopiuj ze strony</t>
        </is>
      </c>
      <c r="G20" s="7" t="inlineStr"/>
      <c r="H20" s="8" t="inlineStr">
        <is>
          <t>https://fcn.dk/akademi/kontakt</t>
        </is>
      </c>
      <c r="I20" s="9" t="n">
        <v>3</v>
      </c>
      <c r="J20" s="7" t="inlineStr">
        <is>
          <t>Częściowo – brak maila osoby</t>
        </is>
      </c>
      <c r="K20" s="7" t="inlineStr"/>
    </row>
    <row r="21">
      <c r="A21" s="7" t="inlineStr">
        <is>
          <t>Dania</t>
        </is>
      </c>
      <c r="B21" s="7" t="inlineStr">
        <is>
          <t>F.C. København</t>
        </is>
      </c>
      <c r="C21" s="7" t="inlineStr">
        <is>
          <t>Cornelius Scheel Hjeds</t>
        </is>
      </c>
      <c r="D21" s="7" t="inlineStr">
        <is>
          <t>Head Scout U6–U9</t>
        </is>
      </c>
      <c r="E21" s="7" t="inlineStr">
        <is>
          <t>Scouting U6–U9</t>
        </is>
      </c>
      <c r="F21" s="7" t="inlineStr">
        <is>
          <t>cohj@fck.dk</t>
        </is>
      </c>
      <c r="G21" s="7" t="inlineStr"/>
      <c r="H21" s="8" t="inlineStr">
        <is>
          <t>https://www.fck.dk/indhold/procedurer-rekruttering-i-talentafdelingen</t>
        </is>
      </c>
      <c r="I21" s="9" t="n">
        <v>3</v>
      </c>
      <c r="J21" s="7" t="inlineStr">
        <is>
          <t>Zweryfikowany</t>
        </is>
      </c>
      <c r="K21" s="7" t="inlineStr"/>
    </row>
    <row r="22">
      <c r="A22" s="7" t="inlineStr">
        <is>
          <t>Dania</t>
        </is>
      </c>
      <c r="B22" s="7" t="inlineStr">
        <is>
          <t>F.C. København</t>
        </is>
      </c>
      <c r="C22" s="7" t="inlineStr">
        <is>
          <t>Casper Kåre Hansen</t>
        </is>
      </c>
      <c r="D22" s="7" t="inlineStr">
        <is>
          <t>Talent Head, Girls/Women</t>
        </is>
      </c>
      <c r="E22" s="7" t="inlineStr">
        <is>
          <t>Akademia kobiet</t>
        </is>
      </c>
      <c r="F22" s="7" t="inlineStr">
        <is>
          <t>cakh@fck.dk</t>
        </is>
      </c>
      <c r="G22" s="7" t="inlineStr"/>
      <c r="H22" s="8" t="inlineStr">
        <is>
          <t>https://www.fck.dk/indhold/procedurer-rekruttering-i-talentafdelingen</t>
        </is>
      </c>
      <c r="I22" s="9" t="n">
        <v>3</v>
      </c>
      <c r="J22" s="7" t="inlineStr">
        <is>
          <t>Zweryfikowany</t>
        </is>
      </c>
      <c r="K22" s="7" t="inlineStr"/>
    </row>
    <row r="23">
      <c r="A23" s="7" t="inlineStr">
        <is>
          <t>Włochy</t>
        </is>
      </c>
      <c r="B23" s="7" t="inlineStr">
        <is>
          <t>Parma Calcio 1913</t>
        </is>
      </c>
      <c r="C23" s="7" t="inlineStr">
        <is>
          <t>Massimiliano Notari</t>
        </is>
      </c>
      <c r="D23" s="7" t="inlineStr">
        <is>
          <t>Head of Scouting</t>
        </is>
      </c>
      <c r="E23" s="7" t="inlineStr">
        <is>
          <t>Scouting regionalny, krajowy, międzynarodowy</t>
        </is>
      </c>
      <c r="F23" s="7" t="inlineStr"/>
      <c r="G23" s="7" t="inlineStr"/>
      <c r="H23" s="8" t="inlineStr">
        <is>
          <t>https://www.parmacalcio1913.com/en/main-news/club-statement-new-football-department-structure-confirmed/</t>
        </is>
      </c>
      <c r="I23" s="9" t="n">
        <v>1</v>
      </c>
      <c r="J23" s="7" t="inlineStr">
        <is>
          <t>Częściowo – brak maila osoby</t>
        </is>
      </c>
      <c r="K23" s="7" t="inlineStr">
        <is>
          <t>Potwierdzony na 2026/27, kontrakt do 30.06.2029</t>
        </is>
      </c>
    </row>
    <row r="24">
      <c r="A24" s="7" t="inlineStr">
        <is>
          <t>Włochy</t>
        </is>
      </c>
      <c r="B24" s="7" t="inlineStr">
        <is>
          <t>Parma Calcio 1913</t>
        </is>
      </c>
      <c r="C24" s="7" t="inlineStr">
        <is>
          <t>Mattia Notari</t>
        </is>
      </c>
      <c r="D24" s="7" t="inlineStr">
        <is>
          <t>Head of Men Youth Sector</t>
        </is>
      </c>
      <c r="E24" s="7" t="inlineStr">
        <is>
          <t>Sektor młodzieżowy (mężczyźni)</t>
        </is>
      </c>
      <c r="F24" s="7" t="inlineStr"/>
      <c r="G24" s="7" t="inlineStr"/>
      <c r="H24" s="8" t="inlineStr">
        <is>
          <t>https://www.parmacalcio1913.com/en/main-news/club-statement-new-football-department-structure-confirmed/</t>
        </is>
      </c>
      <c r="I24" s="9" t="n">
        <v>1</v>
      </c>
      <c r="J24" s="7" t="inlineStr">
        <is>
          <t>Częściowo – brak maila osoby</t>
        </is>
      </c>
      <c r="K24" s="7" t="inlineStr">
        <is>
          <t>Kontrakt do 30.06.2029</t>
        </is>
      </c>
    </row>
    <row r="25">
      <c r="A25" s="7" t="inlineStr">
        <is>
          <t>Włochy</t>
        </is>
      </c>
      <c r="B25" s="7" t="inlineStr">
        <is>
          <t>Parma Calcio 1913</t>
        </is>
      </c>
      <c r="C25" s="7" t="inlineStr">
        <is>
          <t>Federico Crovari</t>
        </is>
      </c>
      <c r="D25" s="7" t="inlineStr">
        <is>
          <t>Football Pathway Manager</t>
        </is>
      </c>
      <c r="E25" s="7" t="inlineStr">
        <is>
          <t>Ścieżka akademia → pierwszy zespół</t>
        </is>
      </c>
      <c r="F25" s="7" t="inlineStr"/>
      <c r="G25" s="7" t="inlineStr"/>
      <c r="H25" s="8" t="inlineStr">
        <is>
          <t>https://www.parmacalcio1913.com/en/main-news/club-statement-new-football-department-structure-confirmed/</t>
        </is>
      </c>
      <c r="I25" s="9" t="n">
        <v>1</v>
      </c>
      <c r="J25" s="7" t="inlineStr">
        <is>
          <t>Częściowo – brak maila osoby</t>
        </is>
      </c>
      <c r="K25" s="7" t="inlineStr">
        <is>
          <t>Nowa rola od 2026/27</t>
        </is>
      </c>
    </row>
    <row r="26">
      <c r="A26" s="7" t="inlineStr">
        <is>
          <t>Włochy</t>
        </is>
      </c>
      <c r="B26" s="7" t="inlineStr">
        <is>
          <t>Udinese Calcio</t>
        </is>
      </c>
      <c r="C26" s="7" t="inlineStr">
        <is>
          <t>Alec Bolla</t>
        </is>
      </c>
      <c r="D26" s="7" t="inlineStr">
        <is>
          <t>Responsabile Udinese Academy</t>
        </is>
      </c>
      <c r="E26" s="7" t="inlineStr">
        <is>
          <t>Sieć klubów afiliowanych (60+), identyfikacja talentów</t>
        </is>
      </c>
      <c r="F26" s="7" t="inlineStr"/>
      <c r="G26" s="7" t="inlineStr">
        <is>
          <t>academy@udinesespa.it; +39 0432 544911</t>
        </is>
      </c>
      <c r="H26" s="8" t="inlineStr">
        <is>
          <t>https://www.udinese.it/academy/contacts</t>
        </is>
      </c>
      <c r="I26" s="9" t="n">
        <v>1</v>
      </c>
      <c r="J26" s="7" t="inlineStr">
        <is>
          <t>Zweryfikowany</t>
        </is>
      </c>
      <c r="K26" s="7" t="inlineStr">
        <is>
          <t>Kontakt przez adres academy@</t>
        </is>
      </c>
    </row>
    <row r="27">
      <c r="A27" s="7" t="inlineStr">
        <is>
          <t>Włochy</t>
        </is>
      </c>
      <c r="B27" s="7" t="inlineStr">
        <is>
          <t>Atalanta</t>
        </is>
      </c>
      <c r="C27" s="7" t="inlineStr">
        <is>
          <t>Gian Paolo Manighetti</t>
        </is>
      </c>
      <c r="D27" s="7" t="inlineStr">
        <is>
          <t>Responsabile Scouting (settore giovanile)</t>
        </is>
      </c>
      <c r="E27" s="7" t="inlineStr">
        <is>
          <t>Scouting sektora młodzieżowego</t>
        </is>
      </c>
      <c r="F27" s="7" t="inlineStr"/>
      <c r="G27" s="7" t="inlineStr">
        <is>
          <t>settoregiovanile@atalanta.it</t>
        </is>
      </c>
      <c r="H27" s="8" t="inlineStr">
        <is>
          <t>https://www.calcioatalanta.it/category/news/approfondimenti/primavera-settore-giovanile-atalanta/</t>
        </is>
      </c>
      <c r="I27" s="9" t="n">
        <v>2</v>
      </c>
      <c r="J27" s="7" t="inlineStr">
        <is>
          <t>Do potwierdzenia</t>
        </is>
      </c>
      <c r="K27" s="7" t="inlineStr">
        <is>
          <t>Dane z 2024/25 – sprawdzić aktualność</t>
        </is>
      </c>
    </row>
    <row r="28">
      <c r="A28" s="7" t="inlineStr">
        <is>
          <t>Włochy</t>
        </is>
      </c>
      <c r="B28" s="7" t="inlineStr">
        <is>
          <t>Empoli FC</t>
        </is>
      </c>
      <c r="C28" s="7" t="inlineStr">
        <is>
          <t>Marco Bertelli</t>
        </is>
      </c>
      <c r="D28" s="7" t="inlineStr">
        <is>
          <t>Responsabile Settore Giovanile</t>
        </is>
      </c>
      <c r="E28" s="7" t="inlineStr">
        <is>
          <t>Sektor młodzieżowy</t>
        </is>
      </c>
      <c r="F28" s="7" t="inlineStr"/>
      <c r="G28" s="7" t="inlineStr">
        <is>
          <t>social@empolifc.com</t>
        </is>
      </c>
      <c r="H28" s="8" t="inlineStr">
        <is>
          <t>https://www.empolifc.it/organigramma</t>
        </is>
      </c>
      <c r="I28" s="9" t="n">
        <v>2</v>
      </c>
      <c r="J28" s="7" t="inlineStr">
        <is>
          <t>Do potwierdzenia</t>
        </is>
      </c>
      <c r="K28" s="7" t="inlineStr">
        <is>
          <t>Scouting attività di base: Paolo Mussi</t>
        </is>
      </c>
    </row>
    <row r="29">
      <c r="A29" s="7" t="inlineStr">
        <is>
          <t>Włochy</t>
        </is>
      </c>
      <c r="B29" s="7" t="inlineStr">
        <is>
          <t>Parma Calcio 1913</t>
        </is>
      </c>
      <c r="C29" s="7" t="inlineStr">
        <is>
          <t>Gianluca Baschieri</t>
        </is>
      </c>
      <c r="D29" s="7" t="inlineStr">
        <is>
          <t>Head of Grassroot</t>
        </is>
      </c>
      <c r="E29" s="7" t="inlineStr">
        <is>
          <t>Grassroots</t>
        </is>
      </c>
      <c r="F29" s="7" t="inlineStr"/>
      <c r="G29" s="7" t="inlineStr"/>
      <c r="H29" s="8" t="inlineStr">
        <is>
          <t>https://www.parmacalcio1913.com/en/main-news/club-statement-new-football-department-structure-confirmed/</t>
        </is>
      </c>
      <c r="I29" s="9" t="n">
        <v>3</v>
      </c>
      <c r="J29" s="7" t="inlineStr">
        <is>
          <t>Częściowo – brak maila osoby</t>
        </is>
      </c>
      <c r="K29" s="7" t="inlineStr"/>
    </row>
    <row r="30">
      <c r="A30" s="7" t="inlineStr">
        <is>
          <t>Francja</t>
        </is>
      </c>
      <c r="B30" s="7" t="inlineStr">
        <is>
          <t>RC Lens</t>
        </is>
      </c>
      <c r="C30" s="7" t="inlineStr">
        <is>
          <t>Alaeddine Yahia</t>
        </is>
      </c>
      <c r="D30" s="7" t="inlineStr">
        <is>
          <t>Responsable du recrutement de l'académie</t>
        </is>
      </c>
      <c r="E30" s="7" t="inlineStr">
        <is>
          <t>Rekrutacja akademii</t>
        </is>
      </c>
      <c r="F30" s="7" t="inlineStr"/>
      <c r="G30" s="7" t="inlineStr"/>
      <c r="H30" s="8" t="inlineStr">
        <is>
          <t>https://www.rclens.fr/fr/pros-cellule-de-recrutement</t>
        </is>
      </c>
      <c r="I30" s="9" t="n">
        <v>1</v>
      </c>
      <c r="J30" s="7" t="inlineStr">
        <is>
          <t>Częściowo – brak maila osoby</t>
        </is>
      </c>
      <c r="K30" s="7" t="inlineStr">
        <is>
          <t>recrutement@rclens.fr to adres HR (oferty pracy) – nie do zgłoszeń zawodników</t>
        </is>
      </c>
    </row>
    <row r="31">
      <c r="A31" s="7" t="inlineStr">
        <is>
          <t>Francja</t>
        </is>
      </c>
      <c r="B31" s="7" t="inlineStr">
        <is>
          <t>Olympique Lyonnais</t>
        </is>
      </c>
      <c r="C31" s="7" t="inlineStr">
        <is>
          <t>Johann Louvel</t>
        </is>
      </c>
      <c r="D31" s="7" t="inlineStr">
        <is>
          <t>Directeur de l'Academy</t>
        </is>
      </c>
      <c r="E31" s="7" t="inlineStr">
        <is>
          <t>Akademia</t>
        </is>
      </c>
      <c r="F31" s="7" t="inlineStr"/>
      <c r="G31" s="7" t="inlineStr"/>
      <c r="H31" s="8" t="inlineStr">
        <is>
          <t>https://www.ol.fr/fr/academy/centre-de-formation/recrutement</t>
        </is>
      </c>
      <c r="I31" s="9" t="n">
        <v>1</v>
      </c>
      <c r="J31" s="7" t="inlineStr">
        <is>
          <t>Do potwierdzenia</t>
        </is>
      </c>
      <c r="K31" s="7" t="inlineStr">
        <is>
          <t>Zastępca ds. technicznych/rekrutacji: Mathieu Seckinger</t>
        </is>
      </c>
    </row>
    <row r="32">
      <c r="A32" s="7" t="inlineStr">
        <is>
          <t>Francja</t>
        </is>
      </c>
      <c r="B32" s="7" t="inlineStr">
        <is>
          <t>Stade Rennais</t>
        </is>
      </c>
      <c r="C32" s="7" t="inlineStr">
        <is>
          <t>Philippe Barraud</t>
        </is>
      </c>
      <c r="D32" s="7" t="inlineStr">
        <is>
          <t>Chargé de coordination du recrutement</t>
        </is>
      </c>
      <c r="E32" s="7" t="inlineStr">
        <is>
          <t>Rekrutacja centrum szkoleniowego</t>
        </is>
      </c>
      <c r="F32" s="7" t="inlineStr"/>
      <c r="G32" s="7" t="inlineStr"/>
      <c r="H32" s="8" t="inlineStr">
        <is>
          <t>https://fr.wikipedia.org/wiki/Centre_de_formation_du_Stade_rennais_FC</t>
        </is>
      </c>
      <c r="I32" s="9" t="n">
        <v>2</v>
      </c>
      <c r="J32" s="7" t="inlineStr">
        <is>
          <t>Do potwierdzenia</t>
        </is>
      </c>
      <c r="K32" s="7" t="inlineStr">
        <is>
          <t>Źródło nieoficjalne – potwierdzić na staderennais.com</t>
        </is>
      </c>
    </row>
    <row r="33">
      <c r="A33" s="7" t="inlineStr">
        <is>
          <t>Francja</t>
        </is>
      </c>
      <c r="B33" s="7" t="inlineStr">
        <is>
          <t>LOSC Lille</t>
        </is>
      </c>
      <c r="C33" s="7" t="inlineStr">
        <is>
          <t>—</t>
        </is>
      </c>
      <c r="D33" s="7" t="inlineStr">
        <is>
          <t>—</t>
        </is>
      </c>
      <c r="E33" s="7" t="inlineStr">
        <is>
          <t>Formularz kontaktowy</t>
        </is>
      </c>
      <c r="F33" s="7" t="inlineStr"/>
      <c r="G33" s="8" t="inlineStr">
        <is>
          <t>https://www.losc.fr/contact</t>
        </is>
      </c>
      <c r="H33" s="8" t="inlineStr">
        <is>
          <t>https://www.losc.fr/formation</t>
        </is>
      </c>
      <c r="I33" s="9" t="n">
        <v>2</v>
      </c>
      <c r="J33" s="7" t="inlineStr">
        <is>
          <t>Częściowo – brak maila osoby</t>
        </is>
      </c>
      <c r="K33" s="7" t="inlineStr">
        <is>
          <t>Brak publicznego maila do rekrutacji młodzieży</t>
        </is>
      </c>
    </row>
    <row r="34">
      <c r="A34" s="7" t="inlineStr">
        <is>
          <t>Belgia</t>
        </is>
      </c>
      <c r="B34" s="7" t="inlineStr">
        <is>
          <t>KAA Gent</t>
        </is>
      </c>
      <c r="C34" s="7" t="inlineStr">
        <is>
          <t>Jordi Maes</t>
        </is>
      </c>
      <c r="D34" s="7" t="inlineStr">
        <is>
          <t>Coördinator Scouting &amp; Rekrutering Jeugd</t>
        </is>
      </c>
      <c r="E34" s="7" t="inlineStr">
        <is>
          <t>Scouting/rekrutacja akademii</t>
        </is>
      </c>
      <c r="F34" s="7" t="inlineStr"/>
      <c r="G34" s="7" t="inlineStr">
        <is>
          <t>formularz: kaagent.typeform.com/interessejeugd</t>
        </is>
      </c>
      <c r="H34" s="8" t="inlineStr">
        <is>
          <t>https://www.kaagent.be/nl/jeugd/jeugdscouting</t>
        </is>
      </c>
      <c r="I34" s="9" t="n">
        <v>1</v>
      </c>
      <c r="J34" s="7" t="inlineStr">
        <is>
          <t>Częściowo – brak maila osoby</t>
        </is>
      </c>
      <c r="K34" s="7" t="inlineStr">
        <is>
          <t>Brak otwartych testów – tylko zaproszenia</t>
        </is>
      </c>
    </row>
    <row r="35">
      <c r="A35" s="7" t="inlineStr">
        <is>
          <t>Belgia</t>
        </is>
      </c>
      <c r="B35" s="7" t="inlineStr">
        <is>
          <t>KRC Genk</t>
        </is>
      </c>
      <c r="C35" s="7" t="inlineStr">
        <is>
          <t>Koen Daerden</t>
        </is>
      </c>
      <c r="D35" s="7" t="inlineStr">
        <is>
          <t>Technical Director Youth Academy</t>
        </is>
      </c>
      <c r="E35" s="7" t="inlineStr">
        <is>
          <t>Akademia</t>
        </is>
      </c>
      <c r="F35" s="7" t="inlineStr"/>
      <c r="G35" s="8" t="inlineStr">
        <is>
          <t>https://www.krcgenk.be/en/contact</t>
        </is>
      </c>
      <c r="H35" s="8" t="inlineStr">
        <is>
          <t>https://www.krcgenk.be/en/contact</t>
        </is>
      </c>
      <c r="I35" s="9" t="n">
        <v>1</v>
      </c>
      <c r="J35" s="7" t="inlineStr">
        <is>
          <t>Do potwierdzenia</t>
        </is>
      </c>
      <c r="K35" s="7" t="inlineStr">
        <is>
          <t>Mail osoby tylko w bazach komercyjnych – nie podajemy</t>
        </is>
      </c>
    </row>
    <row r="36">
      <c r="A36" s="7" t="inlineStr">
        <is>
          <t>Belgia</t>
        </is>
      </c>
      <c r="B36" s="7" t="inlineStr">
        <is>
          <t>Cercle Brugge</t>
        </is>
      </c>
      <c r="C36" s="7" t="inlineStr">
        <is>
          <t>—</t>
        </is>
      </c>
      <c r="D36" s="7" t="inlineStr">
        <is>
          <t>Scouting manager jeugd</t>
        </is>
      </c>
      <c r="E36" s="7" t="inlineStr">
        <is>
          <t>Scouting U8–U18</t>
        </is>
      </c>
      <c r="F36" s="7" t="inlineStr"/>
      <c r="G36" s="7" t="inlineStr">
        <is>
          <t>scouting.jeugd@cerclebrugge.be</t>
        </is>
      </c>
      <c r="H36" s="8" t="inlineStr">
        <is>
          <t>https://cerclebrugge.be/en/teams/youth/jeugdacademie-scouting</t>
        </is>
      </c>
      <c r="I36" s="9" t="n">
        <v>2</v>
      </c>
      <c r="J36" s="7" t="inlineStr">
        <is>
          <t>Zweryfikowany</t>
        </is>
      </c>
      <c r="K36" s="7" t="inlineStr"/>
    </row>
    <row r="37">
      <c r="A37" s="7" t="inlineStr">
        <is>
          <t>Belgia</t>
        </is>
      </c>
      <c r="B37" s="7" t="inlineStr">
        <is>
          <t>RSC Anderlecht</t>
        </is>
      </c>
      <c r="C37" s="7" t="inlineStr">
        <is>
          <t>—</t>
        </is>
      </c>
      <c r="D37" s="7" t="inlineStr">
        <is>
          <t>Neerpede Academy – scouting</t>
        </is>
      </c>
      <c r="E37" s="7" t="inlineStr">
        <is>
          <t>Zgłoszenia zawodników</t>
        </is>
      </c>
      <c r="F37" s="7" t="inlineStr"/>
      <c r="G37" s="7" t="inlineStr">
        <is>
          <t>formularz na rsca.be (FAQ Neerpede)</t>
        </is>
      </c>
      <c r="H37" s="8" t="inlineStr">
        <is>
          <t>https://www.rsca.be/en/faqs/neerpede-academy</t>
        </is>
      </c>
      <c r="I37" s="9" t="n">
        <v>2</v>
      </c>
      <c r="J37" s="7" t="inlineStr">
        <is>
          <t>Częściowo – brak maila osoby</t>
        </is>
      </c>
      <c r="K37" s="7" t="inlineStr"/>
    </row>
    <row r="38">
      <c r="A38" s="7" t="inlineStr">
        <is>
          <t>Belgia</t>
        </is>
      </c>
      <c r="B38" s="7" t="inlineStr">
        <is>
          <t>Club Brugge</t>
        </is>
      </c>
      <c r="C38" s="7" t="inlineStr">
        <is>
          <t>—</t>
        </is>
      </c>
      <c r="D38" s="7" t="inlineStr">
        <is>
          <t>Club NXT</t>
        </is>
      </c>
      <c r="E38" s="7" t="inlineStr">
        <is>
          <t>Kontakt akademii</t>
        </is>
      </c>
      <c r="F38" s="7" t="inlineStr"/>
      <c r="G38" s="8" t="inlineStr">
        <is>
          <t>https://www.clubbrugge.be/en/nxt-contact</t>
        </is>
      </c>
      <c r="H38" s="8" t="inlineStr">
        <is>
          <t>https://www.clubbrugge.be/en/nxt-contact</t>
        </is>
      </c>
      <c r="I38" s="9" t="n">
        <v>2</v>
      </c>
      <c r="J38" s="7" t="inlineStr">
        <is>
          <t>Częściowo – brak maila osoby</t>
        </is>
      </c>
      <c r="K38" s="7" t="inlineStr"/>
    </row>
    <row r="39">
      <c r="A39" s="7" t="inlineStr">
        <is>
          <t>Austria</t>
        </is>
      </c>
      <c r="B39" s="7" t="inlineStr">
        <is>
          <t>LASK</t>
        </is>
      </c>
      <c r="C39" s="7" t="inlineStr">
        <is>
          <t>Philipp Leeb</t>
        </is>
      </c>
      <c r="D39" s="7" t="inlineStr">
        <is>
          <t>Nachwuchsleiter (Youth Director)</t>
        </is>
      </c>
      <c r="E39" s="7" t="inlineStr">
        <is>
          <t>Przyjęcia do akademii</t>
        </is>
      </c>
      <c r="F39" s="7" t="inlineStr">
        <is>
          <t>p.leeb@lask.at</t>
        </is>
      </c>
      <c r="G39" s="7" t="inlineStr">
        <is>
          <t>scouting@lask.at; 0699 111 879 00</t>
        </is>
      </c>
      <c r="H39" s="8" t="inlineStr">
        <is>
          <t>https://www.lask.at/en/m/ansprechpersonen</t>
        </is>
      </c>
      <c r="I39" s="9" t="n">
        <v>1</v>
      </c>
      <c r="J39" s="7" t="inlineStr">
        <is>
          <t>Zweryfikowany</t>
        </is>
      </c>
      <c r="K39" s="7" t="inlineStr"/>
    </row>
    <row r="40">
      <c r="A40" s="7" t="inlineStr">
        <is>
          <t>Austria</t>
        </is>
      </c>
      <c r="B40" s="7" t="inlineStr">
        <is>
          <t>SK Sturm Graz</t>
        </is>
      </c>
      <c r="C40" s="7" t="inlineStr">
        <is>
          <t>Hannes Thier</t>
        </is>
      </c>
      <c r="D40" s="7" t="inlineStr">
        <is>
          <t>Scout (Akademie)</t>
        </is>
      </c>
      <c r="E40" s="7" t="inlineStr">
        <is>
          <t>Profile zawodników na testy</t>
        </is>
      </c>
      <c r="F40" s="7" t="inlineStr">
        <is>
          <t>hannes.thier@sksturm.at</t>
        </is>
      </c>
      <c r="G40" s="7" t="inlineStr">
        <is>
          <t>office@akastmk-sturm.at</t>
        </is>
      </c>
      <c r="H40" s="8" t="inlineStr">
        <is>
          <t>http://www.akastmk-sturm.at/aufnahme.htm</t>
        </is>
      </c>
      <c r="I40" s="9" t="n">
        <v>1</v>
      </c>
      <c r="J40" s="7" t="inlineStr">
        <is>
          <t>Zweryfikowany</t>
        </is>
      </c>
      <c r="K40" s="7" t="inlineStr"/>
    </row>
    <row r="41">
      <c r="A41" s="7" t="inlineStr">
        <is>
          <t>Austria</t>
        </is>
      </c>
      <c r="B41" s="7" t="inlineStr">
        <is>
          <t>SK Rapid Wien</t>
        </is>
      </c>
      <c r="C41" s="7" t="inlineStr">
        <is>
          <t>Nino Rauch</t>
        </is>
      </c>
      <c r="D41" s="7" t="inlineStr">
        <is>
          <t>Leiter Scouting</t>
        </is>
      </c>
      <c r="E41" s="7" t="inlineStr">
        <is>
          <t>Scouting</t>
        </is>
      </c>
      <c r="F41" s="7" t="inlineStr"/>
      <c r="G41" s="7" t="inlineStr">
        <is>
          <t>nachwuchs@skrapid.com; info@skrapid.com</t>
        </is>
      </c>
      <c r="H41" s="8" t="inlineStr">
        <is>
          <t>https://www.skrapid.at/verein/gremien/sport-management/</t>
        </is>
      </c>
      <c r="I41" s="9" t="n">
        <v>1</v>
      </c>
      <c r="J41" s="7" t="inlineStr">
        <is>
          <t>Częściowo – brak maila osoby</t>
        </is>
      </c>
      <c r="K41" s="7" t="inlineStr"/>
    </row>
    <row r="42">
      <c r="A42" s="7" t="inlineStr">
        <is>
          <t>Austria</t>
        </is>
      </c>
      <c r="B42" s="7" t="inlineStr">
        <is>
          <t>FC Red Bull Salzburg</t>
        </is>
      </c>
      <c r="C42" s="7" t="inlineStr">
        <is>
          <t>—</t>
        </is>
      </c>
      <c r="D42" s="7" t="inlineStr">
        <is>
          <t>Akademie – Verwaltung</t>
        </is>
      </c>
      <c r="E42" s="7" t="inlineStr">
        <is>
          <t>Administracja akademii</t>
        </is>
      </c>
      <c r="F42" s="7" t="inlineStr"/>
      <c r="G42" s="7" t="inlineStr">
        <is>
          <t>akademie.verwaltung@redbullsalzburg.at; 0662 433332 4603</t>
        </is>
      </c>
      <c r="H42" s="8" t="inlineStr">
        <is>
          <t>https://www.redbullsalzburg.at/de/jungbullen/organisation-scouting.html</t>
        </is>
      </c>
      <c r="I42" s="9" t="n">
        <v>1</v>
      </c>
      <c r="J42" s="7" t="inlineStr">
        <is>
          <t>Częściowo – brak maila osoby</t>
        </is>
      </c>
      <c r="K42" s="7" t="inlineStr">
        <is>
          <t>Brak publicznego maila do szefa scoutingu</t>
        </is>
      </c>
    </row>
    <row r="43">
      <c r="A43" s="7" t="inlineStr">
        <is>
          <t>Austria</t>
        </is>
      </c>
      <c r="B43" s="7" t="inlineStr">
        <is>
          <t>SK Sturm Graz</t>
        </is>
      </c>
      <c r="C43" s="7" t="inlineStr">
        <is>
          <t>Emil Bauer</t>
        </is>
      </c>
      <c r="D43" s="7" t="inlineStr">
        <is>
          <t>Scouting</t>
        </is>
      </c>
      <c r="E43" s="7" t="inlineStr">
        <is>
          <t>Scouting</t>
        </is>
      </c>
      <c r="F43" s="7" t="inlineStr">
        <is>
          <t>emil.bauer@sksturm.at</t>
        </is>
      </c>
      <c r="G43" s="7" t="inlineStr"/>
      <c r="H43" s="8" t="inlineStr">
        <is>
          <t>https://sksturm.at/en/c/geschaeftsstelle</t>
        </is>
      </c>
      <c r="I43" s="9" t="n">
        <v>2</v>
      </c>
      <c r="J43" s="7" t="inlineStr">
        <is>
          <t>Zweryfikowany</t>
        </is>
      </c>
      <c r="K43" s="7" t="inlineStr"/>
    </row>
    <row r="44">
      <c r="A44" s="7" t="inlineStr">
        <is>
          <t>Austria</t>
        </is>
      </c>
      <c r="B44" s="7" t="inlineStr">
        <is>
          <t>SK Sturm Graz</t>
        </is>
      </c>
      <c r="C44" s="7" t="inlineStr">
        <is>
          <t>Lukas Alterdinger</t>
        </is>
      </c>
      <c r="D44" s="7" t="inlineStr">
        <is>
          <t>Scouting</t>
        </is>
      </c>
      <c r="E44" s="7" t="inlineStr">
        <is>
          <t>Scouting</t>
        </is>
      </c>
      <c r="F44" s="7" t="inlineStr">
        <is>
          <t>lukas.alterdinger@sksturm.at</t>
        </is>
      </c>
      <c r="G44" s="7" t="inlineStr"/>
      <c r="H44" s="8" t="inlineStr">
        <is>
          <t>https://sksturm.at/en/c/geschaeftsstelle</t>
        </is>
      </c>
      <c r="I44" s="9" t="n">
        <v>2</v>
      </c>
      <c r="J44" s="7" t="inlineStr">
        <is>
          <t>Zweryfikowany</t>
        </is>
      </c>
      <c r="K44" s="7" t="inlineStr"/>
    </row>
    <row r="45">
      <c r="A45" s="7" t="inlineStr">
        <is>
          <t>Austria</t>
        </is>
      </c>
      <c r="B45" s="7" t="inlineStr">
        <is>
          <t>SK Sturm Graz</t>
        </is>
      </c>
      <c r="C45" s="7" t="inlineStr">
        <is>
          <t>Christoph Leitgeb</t>
        </is>
      </c>
      <c r="D45" s="7" t="inlineStr">
        <is>
          <t>Scouting</t>
        </is>
      </c>
      <c r="E45" s="7" t="inlineStr">
        <is>
          <t>Scouting</t>
        </is>
      </c>
      <c r="F45" s="7" t="inlineStr">
        <is>
          <t>christoph.leitgeb@sksturm.at</t>
        </is>
      </c>
      <c r="G45" s="7" t="inlineStr"/>
      <c r="H45" s="8" t="inlineStr">
        <is>
          <t>https://sksturm.at/en/c/geschaeftsstelle</t>
        </is>
      </c>
      <c r="I45" s="9" t="n">
        <v>2</v>
      </c>
      <c r="J45" s="7" t="inlineStr">
        <is>
          <t>Zweryfikowany</t>
        </is>
      </c>
      <c r="K45" s="7" t="inlineStr"/>
    </row>
    <row r="46">
      <c r="A46" s="7" t="inlineStr">
        <is>
          <t>Szwajcaria</t>
        </is>
      </c>
      <c r="B46" s="7" t="inlineStr">
        <is>
          <t>FC Zürich</t>
        </is>
      </c>
      <c r="C46" s="7" t="inlineStr">
        <is>
          <t>Balz Rau</t>
        </is>
      </c>
      <c r="D46" s="7" t="inlineStr">
        <is>
          <t>Koordinator Nachwuchsscouting</t>
        </is>
      </c>
      <c r="E46" s="7" t="inlineStr">
        <is>
          <t>Scouting młodzieżowy</t>
        </is>
      </c>
      <c r="F46" s="7" t="inlineStr">
        <is>
          <t>balz.rau@fcz.ch</t>
        </is>
      </c>
      <c r="G46" s="7" t="inlineStr">
        <is>
          <t>+41 43 521 12 12</t>
        </is>
      </c>
      <c r="H46" s="8" t="inlineStr">
        <is>
          <t>https://www.fcz.ch/pages/leitung-und-staff</t>
        </is>
      </c>
      <c r="I46" s="9" t="n">
        <v>1</v>
      </c>
      <c r="J46" s="7" t="inlineStr">
        <is>
          <t>Zweryfikowany</t>
        </is>
      </c>
      <c r="K46" s="7" t="inlineStr">
        <is>
          <t>Ausbildungschef: Sascha Milicevic; Techn. Leiter: Claudio Calvi</t>
        </is>
      </c>
    </row>
    <row r="47">
      <c r="A47" s="7" t="inlineStr">
        <is>
          <t>Szwajcaria</t>
        </is>
      </c>
      <c r="B47" s="7" t="inlineStr">
        <is>
          <t>FC Basel</t>
        </is>
      </c>
      <c r="C47" s="7" t="inlineStr">
        <is>
          <t>Danique Stein</t>
        </is>
      </c>
      <c r="D47" s="7" t="inlineStr">
        <is>
          <t>Stiftung Nachwuchs-Campus Basel</t>
        </is>
      </c>
      <c r="E47" s="7" t="inlineStr">
        <is>
          <t>Campus młodzieżowy (administracja)</t>
        </is>
      </c>
      <c r="F47" s="7" t="inlineStr">
        <is>
          <t>danique.stein@nachwuchs-campus.ch</t>
        </is>
      </c>
      <c r="G47" s="7" t="inlineStr">
        <is>
          <t>info@fcb.ch; 061 375 10 10</t>
        </is>
      </c>
      <c r="H47" s="8" t="inlineStr">
        <is>
          <t>https://www.nachwuchs-campus.ch/impressum</t>
        </is>
      </c>
      <c r="I47" s="9" t="n">
        <v>2</v>
      </c>
      <c r="J47" s="7" t="inlineStr">
        <is>
          <t>Zweryfikowany</t>
        </is>
      </c>
      <c r="K47" s="7" t="inlineStr">
        <is>
          <t>Rola administracyjna, nie scouting</t>
        </is>
      </c>
    </row>
    <row r="48">
      <c r="A48" s="7" t="inlineStr">
        <is>
          <t>Szwajcaria</t>
        </is>
      </c>
      <c r="B48" s="7" t="inlineStr">
        <is>
          <t>BSC Young Boys</t>
        </is>
      </c>
      <c r="C48" s="7" t="inlineStr">
        <is>
          <t>—</t>
        </is>
      </c>
      <c r="D48" s="7" t="inlineStr">
        <is>
          <t>Nachwuchsförderung</t>
        </is>
      </c>
      <c r="E48" s="7" t="inlineStr">
        <is>
          <t>Kontakt ogólny</t>
        </is>
      </c>
      <c r="F48" s="7" t="inlineStr"/>
      <c r="G48" s="7" t="inlineStr">
        <is>
          <t>info@bscyb.ch; +41 31 344 88 88</t>
        </is>
      </c>
      <c r="H48" s="8" t="inlineStr">
        <is>
          <t>https://www.bscyb.ch/nachwuchsfoerderung</t>
        </is>
      </c>
      <c r="I48" s="9" t="n">
        <v>2</v>
      </c>
      <c r="J48" s="7" t="inlineStr">
        <is>
          <t>Częściowo – brak maila osoby</t>
        </is>
      </c>
      <c r="K48" s="7" t="inlineStr"/>
    </row>
    <row r="49">
      <c r="A49" s="7" t="inlineStr">
        <is>
          <t>Szwajcaria</t>
        </is>
      </c>
      <c r="B49" s="7" t="inlineStr">
        <is>
          <t>Grasshopper Club Zürich</t>
        </is>
      </c>
      <c r="C49" s="7" t="inlineStr">
        <is>
          <t>—</t>
        </is>
      </c>
      <c r="D49" s="7" t="inlineStr">
        <is>
          <t>Nachwuchs / GC Campus</t>
        </is>
      </c>
      <c r="E49" s="7" t="inlineStr">
        <is>
          <t>Kontakt ogólny</t>
        </is>
      </c>
      <c r="F49" s="7" t="inlineStr"/>
      <c r="G49" s="7" t="inlineStr">
        <is>
          <t>info@gcz.ch; +41 44 447 46 46</t>
        </is>
      </c>
      <c r="H49" s="8" t="inlineStr">
        <is>
          <t>https://www.gcz.ch/kontakt/</t>
        </is>
      </c>
      <c r="I49" s="9" t="n">
        <v>2</v>
      </c>
      <c r="J49" s="7" t="inlineStr">
        <is>
          <t>Częściowo – brak maila osoby</t>
        </is>
      </c>
      <c r="K49" s="7" t="inlineStr"/>
    </row>
  </sheetData>
  <autoFilter ref="A1:K49"/>
  <conditionalFormatting sqref="A2:K49">
    <cfRule type="expression" priority="1" dxfId="0">
      <formula>$J2="Zweryfikowany"</formula>
    </cfRule>
    <cfRule type="expression" priority="2" dxfId="1">
      <formula>$J2="Do potwierdzenia"</formula>
    </cfRule>
  </conditionalFormatting>
  <conditionalFormatting sqref="I2:I49">
    <cfRule type="expression" priority="3" dxfId="2">
      <formula>$I2=1</formula>
    </cfRule>
  </conditionalFormatting>
  <dataValidations count="1">
    <dataValidation sqref="J2:J49" showDropDown="0" showInputMessage="0" showErrorMessage="0" allowBlank="1" type="list">
      <formula1>"Zweryfikowany,Częściowo – brak maila osoby,Do potwierdzenia"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G33" r:id="rId32"/>
    <hyperlink xmlns:r="http://schemas.openxmlformats.org/officeDocument/2006/relationships" ref="H33" r:id="rId33"/>
    <hyperlink xmlns:r="http://schemas.openxmlformats.org/officeDocument/2006/relationships" ref="H34" r:id="rId34"/>
    <hyperlink xmlns:r="http://schemas.openxmlformats.org/officeDocument/2006/relationships" ref="G35" r:id="rId35"/>
    <hyperlink xmlns:r="http://schemas.openxmlformats.org/officeDocument/2006/relationships" ref="H35" r:id="rId36"/>
    <hyperlink xmlns:r="http://schemas.openxmlformats.org/officeDocument/2006/relationships" ref="H36" r:id="rId37"/>
    <hyperlink xmlns:r="http://schemas.openxmlformats.org/officeDocument/2006/relationships" ref="H37" r:id="rId38"/>
    <hyperlink xmlns:r="http://schemas.openxmlformats.org/officeDocument/2006/relationships" ref="G38" r:id="rId39"/>
    <hyperlink xmlns:r="http://schemas.openxmlformats.org/officeDocument/2006/relationships" ref="H38" r:id="rId40"/>
    <hyperlink xmlns:r="http://schemas.openxmlformats.org/officeDocument/2006/relationships" ref="H39" r:id="rId41"/>
    <hyperlink xmlns:r="http://schemas.openxmlformats.org/officeDocument/2006/relationships" ref="H40" r:id="rId42"/>
    <hyperlink xmlns:r="http://schemas.openxmlformats.org/officeDocument/2006/relationships" ref="H41" r:id="rId43"/>
    <hyperlink xmlns:r="http://schemas.openxmlformats.org/officeDocument/2006/relationships" ref="H42" r:id="rId44"/>
    <hyperlink xmlns:r="http://schemas.openxmlformats.org/officeDocument/2006/relationships" ref="H43" r:id="rId45"/>
    <hyperlink xmlns:r="http://schemas.openxmlformats.org/officeDocument/2006/relationships" ref="H44" r:id="rId46"/>
    <hyperlink xmlns:r="http://schemas.openxmlformats.org/officeDocument/2006/relationships" ref="H45" r:id="rId47"/>
    <hyperlink xmlns:r="http://schemas.openxmlformats.org/officeDocument/2006/relationships" ref="H46" r:id="rId48"/>
    <hyperlink xmlns:r="http://schemas.openxmlformats.org/officeDocument/2006/relationships" ref="H47" r:id="rId49"/>
    <hyperlink xmlns:r="http://schemas.openxmlformats.org/officeDocument/2006/relationships" ref="H48" r:id="rId50"/>
    <hyperlink xmlns:r="http://schemas.openxmlformats.org/officeDocument/2006/relationships" ref="H49" r:id="rId5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40" customWidth="1" min="3" max="3"/>
    <col width="40" customWidth="1" min="4" max="4"/>
    <col width="20" customWidth="1" min="5" max="5"/>
    <col width="48" customWidth="1" min="6" max="6"/>
    <col width="24" customWidth="1" min="7" max="7"/>
    <col width="40" customWidth="1" min="8" max="8"/>
  </cols>
  <sheetData>
    <row r="1" ht="30" customHeight="1">
      <c r="A1" s="6" t="inlineStr">
        <is>
          <t>Klub</t>
        </is>
      </c>
      <c r="B1" s="6" t="inlineStr">
        <is>
          <t>Osoba</t>
        </is>
      </c>
      <c r="C1" s="6" t="inlineStr">
        <is>
          <t>Stanowisko</t>
        </is>
      </c>
      <c r="D1" s="6" t="inlineStr">
        <is>
          <t>Obszar działania</t>
        </is>
      </c>
      <c r="E1" s="6" t="inlineStr">
        <is>
          <t>E-mail osoby</t>
        </is>
      </c>
      <c r="F1" s="6" t="inlineStr">
        <is>
          <t>Źródło</t>
        </is>
      </c>
      <c r="G1" s="6" t="inlineStr">
        <is>
          <t>Status weryfikacji</t>
        </is>
      </c>
      <c r="H1" s="6" t="inlineStr">
        <is>
          <t>Uwagi</t>
        </is>
      </c>
    </row>
    <row r="2">
      <c r="A2" s="7" t="inlineStr">
        <is>
          <t>Beşiktaş JK</t>
        </is>
      </c>
      <c r="B2" s="7" t="inlineStr">
        <is>
          <t>Serdar Topraktepe</t>
        </is>
      </c>
      <c r="C2" s="7" t="inlineStr">
        <is>
          <t>Akademi Direktörü (Academy Director)</t>
        </is>
      </c>
      <c r="D2" s="7" t="inlineStr">
        <is>
          <t>Kierowanie akademią</t>
        </is>
      </c>
      <c r="E2" s="7" t="inlineStr"/>
      <c r="F2" s="8" t="inlineStr">
        <is>
          <t>https://bjk.com.tr/tr/spor-okullari/idari_ve_teknik_kadro</t>
        </is>
      </c>
      <c r="G2" s="7" t="inlineStr">
        <is>
          <t>Częściowo – brak maila osoby</t>
        </is>
      </c>
      <c r="H2" s="7" t="inlineStr">
        <is>
          <t>Stanowisko wg oficjalnej listy kadry</t>
        </is>
      </c>
    </row>
    <row r="3">
      <c r="A3" s="7" t="inlineStr">
        <is>
          <t>Beşiktaş JK</t>
        </is>
      </c>
      <c r="B3" s="7" t="inlineStr">
        <is>
          <t>Toygun Batallı</t>
        </is>
      </c>
      <c r="C3" s="7" t="inlineStr">
        <is>
          <t>Altyapı Gelişimden Sorumlu Yönetici</t>
        </is>
      </c>
      <c r="D3" s="7" t="inlineStr">
        <is>
          <t>Rozwój młodzieży</t>
        </is>
      </c>
      <c r="E3" s="7" t="inlineStr"/>
      <c r="F3" s="8" t="inlineStr">
        <is>
          <t>https://bjk.com.tr/tr/spor-okullari/idari_ve_teknik_kadro</t>
        </is>
      </c>
      <c r="G3" s="7" t="inlineStr">
        <is>
          <t>Częściowo – brak maila osoby</t>
        </is>
      </c>
      <c r="H3" s="7" t="inlineStr"/>
    </row>
    <row r="4">
      <c r="A4" s="7" t="inlineStr">
        <is>
          <t>Beşiktaş JK</t>
        </is>
      </c>
      <c r="B4" s="7" t="inlineStr">
        <is>
          <t>Onur Kerpikçi</t>
        </is>
      </c>
      <c r="C4" s="7" t="inlineStr">
        <is>
          <t>Akademi Scout / Spor Okulları Denetim Müdürü</t>
        </is>
      </c>
      <c r="D4" s="7" t="inlineStr">
        <is>
          <t>Scouting akademii, szkółki</t>
        </is>
      </c>
      <c r="E4" s="7" t="inlineStr"/>
      <c r="F4" s="8" t="inlineStr">
        <is>
          <t>https://bjk.com.tr/tr/spor-okullari/idari_ve_teknik_kadro</t>
        </is>
      </c>
      <c r="G4" s="7" t="inlineStr">
        <is>
          <t>Częściowo – brak maila osoby</t>
        </is>
      </c>
      <c r="H4" s="7" t="inlineStr"/>
    </row>
    <row r="5">
      <c r="A5" s="7" t="inlineStr">
        <is>
          <t>Beşiktaş JK</t>
        </is>
      </c>
      <c r="B5" s="7" t="inlineStr">
        <is>
          <t>—</t>
        </is>
      </c>
      <c r="C5" s="7" t="inlineStr">
        <is>
          <t>Beşiktaş Futbol Akademi – kontakt ogólny</t>
        </is>
      </c>
      <c r="D5" s="7" t="inlineStr">
        <is>
          <t>Adres: Vişnezade Mah. Kadırgalar Cad. No:1, Tüpraş Stadyumu, 34357 Beşiktaş/İstanbul</t>
        </is>
      </c>
      <c r="E5" s="7" t="inlineStr"/>
      <c r="F5" s="8" t="inlineStr">
        <is>
          <t>https://bjk.com.tr/tr/cms/iletisim/14/</t>
        </is>
      </c>
      <c r="G5" s="7" t="inlineStr">
        <is>
          <t>Częściowo – brak maila osoby</t>
        </is>
      </c>
      <c r="H5" s="7" t="inlineStr">
        <is>
          <t>Zespół akademii wymieniony na stronie kontaktowej klubu</t>
        </is>
      </c>
    </row>
  </sheetData>
  <autoFilter ref="A1:H5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2026-09-26T11:58:03Z</dcterms:created>
  <dcterms:modified xsi:type="dcterms:W3CDTF">2026-09-26T11:58:03Z</dcterms:modified>
</cp:coreProperties>
</file>